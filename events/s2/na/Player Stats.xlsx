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89d63768f222688/Desktop/Plat Chat Tournament/Website/pcmt/data/s2/"/>
    </mc:Choice>
  </mc:AlternateContent>
  <xr:revisionPtr revIDLastSave="0" documentId="11_F0292B92439A7E8D6D86D0AA6EB62C8DFD4F8F45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all" sheetId="1" r:id="rId1"/>
    <sheet name="Group Stage" sheetId="2" r:id="rId2"/>
    <sheet name="Playoffs" sheetId="3" r:id="rId3"/>
  </sheets>
  <definedNames>
    <definedName name="_xlnm._FilterDatabase" localSheetId="1" hidden="1">'Group Stage'!$A$1:$V$1</definedName>
    <definedName name="_xlnm._FilterDatabase" localSheetId="0" hidden="1">Overall!$A$1:$V$1</definedName>
    <definedName name="_xlnm._FilterDatabase" localSheetId="2" hidden="1">Playoffs!$A$1:$V$1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2" l="1"/>
  <c r="L62" i="2"/>
  <c r="K62" i="2"/>
  <c r="J62" i="2"/>
  <c r="I62" i="2"/>
  <c r="F62" i="2"/>
  <c r="N61" i="2"/>
  <c r="L61" i="2"/>
  <c r="K61" i="2"/>
  <c r="J61" i="2"/>
  <c r="I61" i="2"/>
  <c r="F61" i="2"/>
  <c r="N60" i="2"/>
  <c r="L60" i="2"/>
  <c r="K60" i="2"/>
  <c r="J60" i="2"/>
  <c r="I60" i="2"/>
  <c r="F60" i="2"/>
  <c r="N59" i="2"/>
  <c r="L59" i="2"/>
  <c r="K59" i="2"/>
  <c r="J59" i="2"/>
  <c r="I59" i="2"/>
  <c r="F59" i="2"/>
  <c r="N58" i="2"/>
  <c r="L58" i="2"/>
  <c r="K58" i="2"/>
  <c r="J58" i="2"/>
  <c r="I58" i="2"/>
  <c r="F58" i="2"/>
  <c r="N57" i="2"/>
  <c r="L57" i="2"/>
  <c r="K57" i="2"/>
  <c r="J57" i="2"/>
  <c r="I57" i="2"/>
  <c r="F57" i="2"/>
  <c r="N56" i="2"/>
  <c r="L56" i="2"/>
  <c r="K56" i="2"/>
  <c r="J56" i="2"/>
  <c r="I56" i="2"/>
  <c r="F56" i="2"/>
  <c r="N55" i="2"/>
  <c r="L55" i="2"/>
  <c r="K55" i="2"/>
  <c r="J55" i="2"/>
  <c r="I55" i="2"/>
  <c r="F55" i="2"/>
  <c r="N54" i="2"/>
  <c r="L54" i="2"/>
  <c r="K54" i="2"/>
  <c r="J54" i="2"/>
  <c r="I54" i="2"/>
  <c r="F54" i="2"/>
  <c r="N53" i="2"/>
  <c r="L53" i="2"/>
  <c r="K53" i="2"/>
  <c r="J53" i="2"/>
  <c r="I53" i="2"/>
  <c r="F53" i="2"/>
  <c r="N52" i="2"/>
  <c r="L52" i="2"/>
  <c r="K52" i="2"/>
  <c r="J52" i="2"/>
  <c r="I52" i="2"/>
  <c r="F52" i="2"/>
  <c r="N51" i="2"/>
  <c r="L51" i="2"/>
  <c r="K51" i="2"/>
  <c r="J51" i="2"/>
  <c r="I51" i="2"/>
  <c r="F51" i="2"/>
  <c r="N50" i="2"/>
  <c r="L50" i="2"/>
  <c r="K50" i="2"/>
  <c r="J50" i="2"/>
  <c r="I50" i="2"/>
  <c r="F50" i="2"/>
  <c r="N49" i="2"/>
  <c r="L49" i="2"/>
  <c r="K49" i="2"/>
  <c r="J49" i="2"/>
  <c r="I49" i="2"/>
  <c r="F49" i="2"/>
  <c r="N48" i="2"/>
  <c r="L48" i="2"/>
  <c r="K48" i="2"/>
  <c r="J48" i="2"/>
  <c r="I48" i="2"/>
  <c r="F48" i="2"/>
  <c r="N47" i="2"/>
  <c r="L47" i="2"/>
  <c r="K47" i="2"/>
  <c r="J47" i="2"/>
  <c r="I47" i="2"/>
  <c r="F47" i="2"/>
  <c r="N46" i="2"/>
  <c r="L46" i="2"/>
  <c r="K46" i="2"/>
  <c r="J46" i="2"/>
  <c r="I46" i="2"/>
  <c r="F46" i="2"/>
  <c r="N45" i="2"/>
  <c r="L45" i="2"/>
  <c r="K45" i="2"/>
  <c r="J45" i="2"/>
  <c r="I45" i="2"/>
  <c r="F45" i="2"/>
  <c r="N44" i="2"/>
  <c r="L44" i="2"/>
  <c r="K44" i="2"/>
  <c r="J44" i="2"/>
  <c r="I44" i="2"/>
  <c r="F44" i="2"/>
  <c r="N43" i="2"/>
  <c r="L43" i="2"/>
  <c r="K43" i="2"/>
  <c r="J43" i="2"/>
  <c r="I43" i="2"/>
  <c r="F43" i="2"/>
  <c r="N42" i="2"/>
  <c r="L42" i="2"/>
  <c r="K42" i="2"/>
  <c r="J42" i="2"/>
  <c r="I42" i="2"/>
  <c r="F42" i="2"/>
  <c r="N41" i="2"/>
  <c r="L41" i="2"/>
  <c r="K41" i="2"/>
  <c r="J41" i="2"/>
  <c r="I41" i="2"/>
  <c r="F41" i="2"/>
  <c r="N40" i="2"/>
  <c r="L40" i="2"/>
  <c r="K40" i="2"/>
  <c r="J40" i="2"/>
  <c r="I40" i="2"/>
  <c r="F40" i="2"/>
  <c r="N39" i="2"/>
  <c r="L39" i="2"/>
  <c r="K39" i="2"/>
  <c r="J39" i="2"/>
  <c r="I39" i="2"/>
  <c r="F39" i="2"/>
  <c r="N38" i="2"/>
  <c r="L38" i="2"/>
  <c r="K38" i="2"/>
  <c r="J38" i="2"/>
  <c r="I38" i="2"/>
  <c r="F38" i="2"/>
  <c r="N37" i="2"/>
  <c r="L37" i="2"/>
  <c r="K37" i="2"/>
  <c r="J37" i="2"/>
  <c r="I37" i="2"/>
  <c r="F37" i="2"/>
  <c r="N36" i="2"/>
  <c r="L36" i="2"/>
  <c r="K36" i="2"/>
  <c r="J36" i="2"/>
  <c r="I36" i="2"/>
  <c r="F36" i="2"/>
  <c r="N35" i="2"/>
  <c r="L35" i="2"/>
  <c r="K35" i="2"/>
  <c r="J35" i="2"/>
  <c r="I35" i="2"/>
  <c r="F35" i="2"/>
  <c r="N34" i="2"/>
  <c r="L34" i="2"/>
  <c r="K34" i="2"/>
  <c r="J34" i="2"/>
  <c r="I34" i="2"/>
  <c r="F34" i="2"/>
  <c r="N33" i="2"/>
  <c r="L33" i="2"/>
  <c r="K33" i="2"/>
  <c r="J33" i="2"/>
  <c r="I33" i="2"/>
  <c r="F33" i="2"/>
  <c r="N32" i="2"/>
  <c r="L32" i="2"/>
  <c r="K32" i="2"/>
  <c r="J32" i="2"/>
  <c r="I32" i="2"/>
  <c r="F32" i="2"/>
  <c r="N31" i="2"/>
  <c r="L31" i="2"/>
  <c r="K31" i="2"/>
  <c r="J31" i="2"/>
  <c r="I31" i="2"/>
  <c r="F31" i="2"/>
  <c r="N30" i="2"/>
  <c r="L30" i="2"/>
  <c r="K30" i="2"/>
  <c r="J30" i="2"/>
  <c r="I30" i="2"/>
  <c r="F30" i="2"/>
  <c r="N29" i="2"/>
  <c r="L29" i="2"/>
  <c r="K29" i="2"/>
  <c r="J29" i="2"/>
  <c r="I29" i="2"/>
  <c r="F29" i="2"/>
  <c r="N28" i="2"/>
  <c r="L28" i="2"/>
  <c r="K28" i="2"/>
  <c r="J28" i="2"/>
  <c r="I28" i="2"/>
  <c r="F28" i="2"/>
  <c r="N27" i="2"/>
  <c r="L27" i="2"/>
  <c r="K27" i="2"/>
  <c r="J27" i="2"/>
  <c r="I27" i="2"/>
  <c r="F27" i="2"/>
  <c r="N26" i="2"/>
  <c r="L26" i="2"/>
  <c r="K26" i="2"/>
  <c r="J26" i="2"/>
  <c r="I26" i="2"/>
  <c r="F26" i="2"/>
  <c r="N25" i="2"/>
  <c r="L25" i="2"/>
  <c r="K25" i="2"/>
  <c r="J25" i="2"/>
  <c r="I25" i="2"/>
  <c r="F25" i="2"/>
  <c r="N24" i="2"/>
  <c r="L24" i="2"/>
  <c r="K24" i="2"/>
  <c r="J24" i="2"/>
  <c r="I24" i="2"/>
  <c r="F24" i="2"/>
  <c r="N23" i="2"/>
  <c r="L23" i="2"/>
  <c r="K23" i="2"/>
  <c r="J23" i="2"/>
  <c r="I23" i="2"/>
  <c r="F23" i="2"/>
  <c r="N22" i="2"/>
  <c r="L22" i="2"/>
  <c r="K22" i="2"/>
  <c r="J22" i="2"/>
  <c r="I22" i="2"/>
  <c r="F22" i="2"/>
  <c r="N21" i="2"/>
  <c r="L21" i="2"/>
  <c r="K21" i="2"/>
  <c r="J21" i="2"/>
  <c r="I21" i="2"/>
  <c r="F21" i="2"/>
  <c r="N20" i="2"/>
  <c r="L20" i="2"/>
  <c r="K20" i="2"/>
  <c r="J20" i="2"/>
  <c r="I20" i="2"/>
  <c r="F20" i="2"/>
  <c r="N19" i="2"/>
  <c r="L19" i="2"/>
  <c r="K19" i="2"/>
  <c r="J19" i="2"/>
  <c r="I19" i="2"/>
  <c r="F19" i="2"/>
  <c r="N18" i="2"/>
  <c r="L18" i="2"/>
  <c r="K18" i="2"/>
  <c r="J18" i="2"/>
  <c r="I18" i="2"/>
  <c r="F18" i="2"/>
  <c r="N17" i="2"/>
  <c r="L17" i="2"/>
  <c r="K17" i="2"/>
  <c r="J17" i="2"/>
  <c r="I17" i="2"/>
  <c r="F17" i="2"/>
  <c r="N16" i="2"/>
  <c r="L16" i="2"/>
  <c r="K16" i="2"/>
  <c r="J16" i="2"/>
  <c r="I16" i="2"/>
  <c r="F16" i="2"/>
  <c r="N15" i="2"/>
  <c r="L15" i="2"/>
  <c r="K15" i="2"/>
  <c r="J15" i="2"/>
  <c r="I15" i="2"/>
  <c r="F15" i="2"/>
  <c r="N14" i="2"/>
  <c r="L14" i="2"/>
  <c r="K14" i="2"/>
  <c r="J14" i="2"/>
  <c r="I14" i="2"/>
  <c r="F14" i="2"/>
  <c r="N13" i="2"/>
  <c r="L13" i="2"/>
  <c r="K13" i="2"/>
  <c r="J13" i="2"/>
  <c r="I13" i="2"/>
  <c r="F13" i="2"/>
  <c r="N12" i="2"/>
  <c r="L12" i="2"/>
  <c r="K12" i="2"/>
  <c r="J12" i="2"/>
  <c r="I12" i="2"/>
  <c r="F12" i="2"/>
  <c r="N11" i="2"/>
  <c r="L11" i="2"/>
  <c r="K11" i="2"/>
  <c r="J11" i="2"/>
  <c r="I11" i="2"/>
  <c r="F11" i="2"/>
  <c r="N10" i="2"/>
  <c r="L10" i="2"/>
  <c r="K10" i="2"/>
  <c r="J10" i="2"/>
  <c r="I10" i="2"/>
  <c r="F10" i="2"/>
  <c r="N9" i="2"/>
  <c r="L9" i="2"/>
  <c r="K9" i="2"/>
  <c r="J9" i="2"/>
  <c r="I9" i="2"/>
  <c r="F9" i="2"/>
  <c r="N8" i="2"/>
  <c r="L8" i="2"/>
  <c r="K8" i="2"/>
  <c r="J8" i="2"/>
  <c r="I8" i="2"/>
  <c r="F8" i="2"/>
  <c r="N7" i="2"/>
  <c r="L7" i="2"/>
  <c r="K7" i="2"/>
  <c r="J7" i="2"/>
  <c r="I7" i="2"/>
  <c r="F7" i="2"/>
  <c r="N6" i="2"/>
  <c r="L6" i="2"/>
  <c r="K6" i="2"/>
  <c r="J6" i="2"/>
  <c r="I6" i="2"/>
  <c r="F6" i="2"/>
  <c r="N5" i="2"/>
  <c r="L5" i="2"/>
  <c r="K5" i="2"/>
  <c r="J5" i="2"/>
  <c r="I5" i="2"/>
  <c r="F5" i="2"/>
  <c r="N4" i="2"/>
  <c r="L4" i="2"/>
  <c r="K4" i="2"/>
  <c r="J4" i="2"/>
  <c r="I4" i="2"/>
  <c r="F4" i="2"/>
  <c r="N3" i="2"/>
  <c r="L3" i="2"/>
  <c r="K3" i="2"/>
  <c r="J3" i="2"/>
  <c r="I3" i="2"/>
  <c r="F3" i="2"/>
  <c r="N2" i="2"/>
  <c r="L2" i="2"/>
  <c r="K2" i="2"/>
  <c r="J2" i="2"/>
  <c r="I2" i="2"/>
  <c r="F2" i="2"/>
  <c r="N62" i="1"/>
  <c r="L62" i="1"/>
  <c r="K62" i="1"/>
  <c r="J62" i="1"/>
  <c r="I62" i="1"/>
  <c r="F62" i="1"/>
  <c r="N61" i="1"/>
  <c r="L61" i="1"/>
  <c r="K61" i="1"/>
  <c r="J61" i="1"/>
  <c r="I61" i="1"/>
  <c r="F61" i="1"/>
  <c r="N60" i="1"/>
  <c r="L60" i="1"/>
  <c r="K60" i="1"/>
  <c r="J60" i="1"/>
  <c r="I60" i="1"/>
  <c r="F60" i="1"/>
  <c r="N59" i="1"/>
  <c r="L59" i="1"/>
  <c r="K59" i="1"/>
  <c r="J59" i="1"/>
  <c r="I59" i="1"/>
  <c r="F59" i="1"/>
  <c r="N58" i="1"/>
  <c r="L58" i="1"/>
  <c r="K58" i="1"/>
  <c r="J58" i="1"/>
  <c r="I58" i="1"/>
  <c r="F58" i="1"/>
  <c r="N57" i="1"/>
  <c r="L57" i="1"/>
  <c r="K57" i="1"/>
  <c r="J57" i="1"/>
  <c r="I57" i="1"/>
  <c r="F57" i="1"/>
  <c r="N56" i="1"/>
  <c r="L56" i="1"/>
  <c r="K56" i="1"/>
  <c r="J56" i="1"/>
  <c r="I56" i="1"/>
  <c r="F56" i="1"/>
  <c r="N55" i="1"/>
  <c r="L55" i="1"/>
  <c r="K55" i="1"/>
  <c r="J55" i="1"/>
  <c r="I55" i="1"/>
  <c r="F55" i="1"/>
  <c r="N54" i="1"/>
  <c r="L54" i="1"/>
  <c r="K54" i="1"/>
  <c r="J54" i="1"/>
  <c r="I54" i="1"/>
  <c r="F54" i="1"/>
  <c r="N53" i="1"/>
  <c r="L53" i="1"/>
  <c r="K53" i="1"/>
  <c r="J53" i="1"/>
  <c r="I53" i="1"/>
  <c r="F53" i="1"/>
  <c r="N52" i="1"/>
  <c r="L52" i="1"/>
  <c r="K52" i="1"/>
  <c r="J52" i="1"/>
  <c r="I52" i="1"/>
  <c r="F52" i="1"/>
  <c r="N51" i="1"/>
  <c r="L51" i="1"/>
  <c r="K51" i="1"/>
  <c r="J51" i="1"/>
  <c r="I51" i="1"/>
  <c r="F51" i="1"/>
  <c r="N50" i="1"/>
  <c r="L50" i="1"/>
  <c r="K50" i="1"/>
  <c r="J50" i="1"/>
  <c r="I50" i="1"/>
  <c r="F50" i="1"/>
  <c r="N49" i="1"/>
  <c r="L49" i="1"/>
  <c r="K49" i="1"/>
  <c r="J49" i="1"/>
  <c r="I49" i="1"/>
  <c r="F49" i="1"/>
  <c r="N48" i="1"/>
  <c r="L48" i="1"/>
  <c r="K48" i="1"/>
  <c r="J48" i="1"/>
  <c r="I48" i="1"/>
  <c r="F48" i="1"/>
  <c r="N47" i="1"/>
  <c r="L47" i="1"/>
  <c r="K47" i="1"/>
  <c r="J47" i="1"/>
  <c r="I47" i="1"/>
  <c r="F47" i="1"/>
  <c r="N46" i="1"/>
  <c r="L46" i="1"/>
  <c r="K46" i="1"/>
  <c r="J46" i="1"/>
  <c r="I46" i="1"/>
  <c r="F46" i="1"/>
  <c r="N45" i="1"/>
  <c r="L45" i="1"/>
  <c r="K45" i="1"/>
  <c r="J45" i="1"/>
  <c r="I45" i="1"/>
  <c r="F45" i="1"/>
  <c r="N44" i="1"/>
  <c r="L44" i="1"/>
  <c r="K44" i="1"/>
  <c r="J44" i="1"/>
  <c r="I44" i="1"/>
  <c r="F44" i="1"/>
  <c r="N43" i="1"/>
  <c r="L43" i="1"/>
  <c r="K43" i="1"/>
  <c r="J43" i="1"/>
  <c r="I43" i="1"/>
  <c r="F43" i="1"/>
  <c r="N42" i="1"/>
  <c r="L42" i="1"/>
  <c r="K42" i="1"/>
  <c r="J42" i="1"/>
  <c r="I42" i="1"/>
  <c r="F42" i="1"/>
  <c r="N41" i="1"/>
  <c r="L41" i="1"/>
  <c r="K41" i="1"/>
  <c r="J41" i="1"/>
  <c r="I41" i="1"/>
  <c r="F41" i="1"/>
  <c r="N40" i="1"/>
  <c r="L40" i="1"/>
  <c r="K40" i="1"/>
  <c r="J40" i="1"/>
  <c r="I40" i="1"/>
  <c r="F40" i="1"/>
  <c r="N39" i="1"/>
  <c r="L39" i="1"/>
  <c r="K39" i="1"/>
  <c r="J39" i="1"/>
  <c r="I39" i="1"/>
  <c r="F39" i="1"/>
  <c r="N38" i="1"/>
  <c r="L38" i="1"/>
  <c r="K38" i="1"/>
  <c r="J38" i="1"/>
  <c r="I38" i="1"/>
  <c r="F38" i="1"/>
  <c r="N37" i="1"/>
  <c r="L37" i="1"/>
  <c r="K37" i="1"/>
  <c r="J37" i="1"/>
  <c r="I37" i="1"/>
  <c r="F37" i="1"/>
  <c r="N36" i="1"/>
  <c r="L36" i="1"/>
  <c r="K36" i="1"/>
  <c r="J36" i="1"/>
  <c r="I36" i="1"/>
  <c r="F36" i="1"/>
  <c r="N35" i="1"/>
  <c r="L35" i="1"/>
  <c r="K35" i="1"/>
  <c r="J35" i="1"/>
  <c r="I35" i="1"/>
  <c r="F35" i="1"/>
  <c r="N34" i="1"/>
  <c r="L34" i="1"/>
  <c r="K34" i="1"/>
  <c r="J34" i="1"/>
  <c r="I34" i="1"/>
  <c r="F34" i="1"/>
  <c r="N33" i="1"/>
  <c r="L33" i="1"/>
  <c r="K33" i="1"/>
  <c r="J33" i="1"/>
  <c r="I33" i="1"/>
  <c r="F33" i="1"/>
  <c r="N32" i="1"/>
  <c r="L32" i="1"/>
  <c r="K32" i="1"/>
  <c r="J32" i="1"/>
  <c r="I32" i="1"/>
  <c r="F32" i="1"/>
  <c r="N31" i="1"/>
  <c r="L31" i="1"/>
  <c r="K31" i="1"/>
  <c r="J31" i="1"/>
  <c r="I31" i="1"/>
  <c r="F31" i="1"/>
  <c r="N30" i="1"/>
  <c r="L30" i="1"/>
  <c r="K30" i="1"/>
  <c r="J30" i="1"/>
  <c r="I30" i="1"/>
  <c r="F30" i="1"/>
  <c r="N29" i="1"/>
  <c r="L29" i="1"/>
  <c r="K29" i="1"/>
  <c r="J29" i="1"/>
  <c r="I29" i="1"/>
  <c r="F29" i="1"/>
  <c r="N28" i="1"/>
  <c r="L28" i="1"/>
  <c r="K28" i="1"/>
  <c r="J28" i="1"/>
  <c r="I28" i="1"/>
  <c r="F28" i="1"/>
  <c r="N27" i="1"/>
  <c r="L27" i="1"/>
  <c r="K27" i="1"/>
  <c r="J27" i="1"/>
  <c r="I27" i="1"/>
  <c r="F27" i="1"/>
  <c r="N26" i="1"/>
  <c r="L26" i="1"/>
  <c r="K26" i="1"/>
  <c r="J26" i="1"/>
  <c r="I26" i="1"/>
  <c r="F26" i="1"/>
  <c r="N25" i="1"/>
  <c r="L25" i="1"/>
  <c r="K25" i="1"/>
  <c r="J25" i="1"/>
  <c r="I25" i="1"/>
  <c r="F25" i="1"/>
  <c r="N24" i="1"/>
  <c r="L24" i="1"/>
  <c r="K24" i="1"/>
  <c r="J24" i="1"/>
  <c r="I24" i="1"/>
  <c r="F24" i="1"/>
  <c r="N23" i="1"/>
  <c r="L23" i="1"/>
  <c r="K23" i="1"/>
  <c r="J23" i="1"/>
  <c r="I23" i="1"/>
  <c r="F23" i="1"/>
  <c r="N22" i="1"/>
  <c r="L22" i="1"/>
  <c r="K22" i="1"/>
  <c r="J22" i="1"/>
  <c r="I22" i="1"/>
  <c r="F22" i="1"/>
  <c r="N21" i="1"/>
  <c r="L21" i="1"/>
  <c r="K21" i="1"/>
  <c r="J21" i="1"/>
  <c r="I21" i="1"/>
  <c r="F21" i="1"/>
  <c r="N20" i="1"/>
  <c r="L20" i="1"/>
  <c r="K20" i="1"/>
  <c r="J20" i="1"/>
  <c r="I20" i="1"/>
  <c r="F20" i="1"/>
  <c r="N19" i="1"/>
  <c r="L19" i="1"/>
  <c r="K19" i="1"/>
  <c r="J19" i="1"/>
  <c r="I19" i="1"/>
  <c r="F19" i="1"/>
  <c r="N18" i="1"/>
  <c r="L18" i="1"/>
  <c r="K18" i="1"/>
  <c r="J18" i="1"/>
  <c r="I18" i="1"/>
  <c r="F18" i="1"/>
  <c r="N17" i="1"/>
  <c r="L17" i="1"/>
  <c r="K17" i="1"/>
  <c r="J17" i="1"/>
  <c r="I17" i="1"/>
  <c r="F17" i="1"/>
  <c r="N16" i="1"/>
  <c r="L16" i="1"/>
  <c r="K16" i="1"/>
  <c r="J16" i="1"/>
  <c r="I16" i="1"/>
  <c r="F16" i="1"/>
  <c r="N15" i="1"/>
  <c r="L15" i="1"/>
  <c r="K15" i="1"/>
  <c r="J15" i="1"/>
  <c r="I15" i="1"/>
  <c r="F15" i="1"/>
  <c r="N14" i="1"/>
  <c r="L14" i="1"/>
  <c r="K14" i="1"/>
  <c r="J14" i="1"/>
  <c r="I14" i="1"/>
  <c r="F14" i="1"/>
  <c r="N13" i="1"/>
  <c r="L13" i="1"/>
  <c r="K13" i="1"/>
  <c r="J13" i="1"/>
  <c r="I13" i="1"/>
  <c r="F13" i="1"/>
  <c r="N12" i="1"/>
  <c r="L12" i="1"/>
  <c r="K12" i="1"/>
  <c r="J12" i="1"/>
  <c r="I12" i="1"/>
  <c r="F12" i="1"/>
  <c r="N11" i="1"/>
  <c r="L11" i="1"/>
  <c r="K11" i="1"/>
  <c r="J11" i="1"/>
  <c r="I11" i="1"/>
  <c r="F11" i="1"/>
  <c r="N10" i="1"/>
  <c r="L10" i="1"/>
  <c r="K10" i="1"/>
  <c r="J10" i="1"/>
  <c r="I10" i="1"/>
  <c r="F10" i="1"/>
  <c r="N9" i="1"/>
  <c r="L9" i="1"/>
  <c r="K9" i="1"/>
  <c r="J9" i="1"/>
  <c r="I9" i="1"/>
  <c r="F9" i="1"/>
  <c r="N8" i="1"/>
  <c r="L8" i="1"/>
  <c r="K8" i="1"/>
  <c r="J8" i="1"/>
  <c r="I8" i="1"/>
  <c r="F8" i="1"/>
  <c r="N7" i="1"/>
  <c r="L7" i="1"/>
  <c r="K7" i="1"/>
  <c r="J7" i="1"/>
  <c r="I7" i="1"/>
  <c r="F7" i="1"/>
  <c r="N6" i="1"/>
  <c r="L6" i="1"/>
  <c r="K6" i="1"/>
  <c r="J6" i="1"/>
  <c r="I6" i="1"/>
  <c r="F6" i="1"/>
  <c r="N5" i="1"/>
  <c r="L5" i="1"/>
  <c r="K5" i="1"/>
  <c r="J5" i="1"/>
  <c r="I5" i="1"/>
  <c r="F5" i="1"/>
  <c r="N4" i="1"/>
  <c r="L4" i="1"/>
  <c r="K4" i="1"/>
  <c r="J4" i="1"/>
  <c r="I4" i="1"/>
  <c r="F4" i="1"/>
  <c r="N3" i="1"/>
  <c r="L3" i="1"/>
  <c r="K3" i="1"/>
  <c r="J3" i="1"/>
  <c r="I3" i="1"/>
  <c r="F3" i="1"/>
  <c r="N2" i="1"/>
  <c r="L2" i="1"/>
  <c r="K2" i="1"/>
  <c r="J2" i="1"/>
  <c r="I2" i="1"/>
  <c r="F2" i="1"/>
  <c r="N32" i="3"/>
  <c r="L32" i="3"/>
  <c r="K32" i="3"/>
  <c r="J32" i="3"/>
  <c r="I32" i="3"/>
  <c r="F32" i="3"/>
  <c r="N31" i="3"/>
  <c r="L31" i="3"/>
  <c r="K31" i="3"/>
  <c r="J31" i="3"/>
  <c r="I31" i="3"/>
  <c r="F31" i="3"/>
  <c r="N30" i="3"/>
  <c r="L30" i="3"/>
  <c r="K30" i="3"/>
  <c r="J30" i="3"/>
  <c r="I30" i="3"/>
  <c r="F30" i="3"/>
  <c r="N29" i="3"/>
  <c r="L29" i="3"/>
  <c r="K29" i="3"/>
  <c r="J29" i="3"/>
  <c r="I29" i="3"/>
  <c r="F29" i="3"/>
  <c r="N28" i="3"/>
  <c r="L28" i="3"/>
  <c r="K28" i="3"/>
  <c r="J28" i="3"/>
  <c r="I28" i="3"/>
  <c r="F28" i="3"/>
  <c r="N27" i="3"/>
  <c r="L27" i="3"/>
  <c r="K27" i="3"/>
  <c r="J27" i="3"/>
  <c r="I27" i="3"/>
  <c r="F27" i="3"/>
  <c r="N26" i="3"/>
  <c r="L26" i="3"/>
  <c r="K26" i="3"/>
  <c r="J26" i="3"/>
  <c r="I26" i="3"/>
  <c r="F26" i="3"/>
  <c r="N25" i="3"/>
  <c r="L25" i="3"/>
  <c r="K25" i="3"/>
  <c r="J25" i="3"/>
  <c r="I25" i="3"/>
  <c r="F25" i="3"/>
  <c r="N24" i="3"/>
  <c r="L24" i="3"/>
  <c r="K24" i="3"/>
  <c r="J24" i="3"/>
  <c r="I24" i="3"/>
  <c r="F24" i="3"/>
  <c r="N23" i="3"/>
  <c r="L23" i="3"/>
  <c r="K23" i="3"/>
  <c r="J23" i="3"/>
  <c r="I23" i="3"/>
  <c r="F23" i="3"/>
  <c r="N22" i="3"/>
  <c r="L22" i="3"/>
  <c r="K22" i="3"/>
  <c r="J22" i="3"/>
  <c r="I22" i="3"/>
  <c r="F22" i="3"/>
  <c r="N21" i="3"/>
  <c r="L21" i="3"/>
  <c r="K21" i="3"/>
  <c r="J21" i="3"/>
  <c r="I21" i="3"/>
  <c r="F21" i="3"/>
  <c r="N20" i="3"/>
  <c r="L20" i="3"/>
  <c r="K20" i="3"/>
  <c r="J20" i="3"/>
  <c r="I20" i="3"/>
  <c r="F20" i="3"/>
  <c r="N19" i="3"/>
  <c r="L19" i="3"/>
  <c r="K19" i="3"/>
  <c r="J19" i="3"/>
  <c r="I19" i="3"/>
  <c r="F19" i="3"/>
  <c r="N18" i="3"/>
  <c r="L18" i="3"/>
  <c r="K18" i="3"/>
  <c r="J18" i="3"/>
  <c r="I18" i="3"/>
  <c r="F18" i="3"/>
  <c r="N17" i="3"/>
  <c r="L17" i="3"/>
  <c r="K17" i="3"/>
  <c r="J17" i="3"/>
  <c r="I17" i="3"/>
  <c r="F17" i="3"/>
  <c r="N16" i="3"/>
  <c r="L16" i="3"/>
  <c r="K16" i="3"/>
  <c r="J16" i="3"/>
  <c r="I16" i="3"/>
  <c r="F16" i="3"/>
  <c r="N15" i="3"/>
  <c r="L15" i="3"/>
  <c r="K15" i="3"/>
  <c r="J15" i="3"/>
  <c r="I15" i="3"/>
  <c r="F15" i="3"/>
  <c r="N14" i="3"/>
  <c r="L14" i="3"/>
  <c r="K14" i="3"/>
  <c r="J14" i="3"/>
  <c r="I14" i="3"/>
  <c r="F14" i="3"/>
  <c r="N13" i="3"/>
  <c r="L13" i="3"/>
  <c r="K13" i="3"/>
  <c r="J13" i="3"/>
  <c r="I13" i="3"/>
  <c r="F13" i="3"/>
  <c r="N12" i="3"/>
  <c r="L12" i="3"/>
  <c r="K12" i="3"/>
  <c r="J12" i="3"/>
  <c r="I12" i="3"/>
  <c r="F12" i="3"/>
  <c r="N11" i="3"/>
  <c r="L11" i="3"/>
  <c r="K11" i="3"/>
  <c r="J11" i="3"/>
  <c r="I11" i="3"/>
  <c r="F11" i="3"/>
  <c r="N10" i="3"/>
  <c r="L10" i="3"/>
  <c r="K10" i="3"/>
  <c r="J10" i="3"/>
  <c r="I10" i="3"/>
  <c r="F10" i="3"/>
  <c r="N9" i="3"/>
  <c r="L9" i="3"/>
  <c r="K9" i="3"/>
  <c r="J9" i="3"/>
  <c r="I9" i="3"/>
  <c r="F9" i="3"/>
  <c r="N8" i="3"/>
  <c r="L8" i="3"/>
  <c r="K8" i="3"/>
  <c r="J8" i="3"/>
  <c r="I8" i="3"/>
  <c r="F8" i="3"/>
  <c r="N7" i="3"/>
  <c r="L7" i="3"/>
  <c r="K7" i="3"/>
  <c r="J7" i="3"/>
  <c r="I7" i="3"/>
  <c r="F7" i="3"/>
  <c r="N6" i="3"/>
  <c r="L6" i="3"/>
  <c r="K6" i="3"/>
  <c r="J6" i="3"/>
  <c r="I6" i="3"/>
  <c r="F6" i="3"/>
  <c r="N5" i="3"/>
  <c r="L5" i="3"/>
  <c r="K5" i="3"/>
  <c r="J5" i="3"/>
  <c r="I5" i="3"/>
  <c r="F5" i="3"/>
  <c r="N4" i="3"/>
  <c r="L4" i="3"/>
  <c r="K4" i="3"/>
  <c r="J4" i="3"/>
  <c r="I4" i="3"/>
  <c r="F4" i="3"/>
  <c r="N3" i="3"/>
  <c r="L3" i="3"/>
  <c r="K3" i="3"/>
  <c r="J3" i="3"/>
  <c r="I3" i="3"/>
  <c r="F3" i="3"/>
  <c r="N2" i="3"/>
  <c r="L2" i="3"/>
  <c r="K2" i="3"/>
  <c r="J2" i="3"/>
  <c r="I2" i="3"/>
  <c r="F2" i="3"/>
</calcChain>
</file>

<file path=xl/sharedStrings.xml><?xml version="1.0" encoding="utf-8"?>
<sst xmlns="http://schemas.openxmlformats.org/spreadsheetml/2006/main" count="615" uniqueCount="131">
  <si>
    <t>Player</t>
  </si>
  <si>
    <t>Team</t>
  </si>
  <si>
    <t>Rounds</t>
  </si>
  <si>
    <t>R1.0</t>
  </si>
  <si>
    <t>ACS</t>
  </si>
  <si>
    <t>K:D</t>
  </si>
  <si>
    <t>KAST</t>
  </si>
  <si>
    <t>ADR</t>
  </si>
  <si>
    <t>KPR</t>
  </si>
  <si>
    <t>APR</t>
  </si>
  <si>
    <t>FKPR</t>
  </si>
  <si>
    <t>FDPR</t>
  </si>
  <si>
    <t>HS%</t>
  </si>
  <si>
    <t>CL%</t>
  </si>
  <si>
    <t>CL</t>
  </si>
  <si>
    <t>KMAX</t>
  </si>
  <si>
    <t>K</t>
  </si>
  <si>
    <t>D</t>
  </si>
  <si>
    <t>A</t>
  </si>
  <si>
    <t>FK</t>
  </si>
  <si>
    <t>FD</t>
  </si>
  <si>
    <t>Change</t>
  </si>
  <si>
    <t>stingray</t>
  </si>
  <si>
    <t>JDG</t>
  </si>
  <si>
    <t>—</t>
  </si>
  <si>
    <t>straight</t>
  </si>
  <si>
    <t>DRG</t>
  </si>
  <si>
    <t>+13</t>
  </si>
  <si>
    <t>james</t>
  </si>
  <si>
    <t>-1</t>
  </si>
  <si>
    <t>kaydeg</t>
  </si>
  <si>
    <t>EMEA</t>
  </si>
  <si>
    <t>+20</t>
  </si>
  <si>
    <t>jooah</t>
  </si>
  <si>
    <t>+8</t>
  </si>
  <si>
    <t>Blitz</t>
  </si>
  <si>
    <t>ZIRC</t>
  </si>
  <si>
    <t>+50</t>
  </si>
  <si>
    <t>sizable</t>
  </si>
  <si>
    <t>+7</t>
  </si>
  <si>
    <t>basil</t>
  </si>
  <si>
    <t>MIBR</t>
  </si>
  <si>
    <t>-4</t>
  </si>
  <si>
    <t>Eve</t>
  </si>
  <si>
    <t>+52</t>
  </si>
  <si>
    <t>psyclone</t>
  </si>
  <si>
    <t>WING</t>
  </si>
  <si>
    <t>+38</t>
  </si>
  <si>
    <t>radical</t>
  </si>
  <si>
    <t>amara</t>
  </si>
  <si>
    <t>lazy</t>
  </si>
  <si>
    <t>-8</t>
  </si>
  <si>
    <t>jay</t>
  </si>
  <si>
    <t>-11</t>
  </si>
  <si>
    <t>Robohobo</t>
  </si>
  <si>
    <t>+45</t>
  </si>
  <si>
    <t>luca</t>
  </si>
  <si>
    <t>-9</t>
  </si>
  <si>
    <t>caleb</t>
  </si>
  <si>
    <t>+5</t>
  </si>
  <si>
    <t>ethan</t>
  </si>
  <si>
    <t>+40</t>
  </si>
  <si>
    <t>neckolas</t>
  </si>
  <si>
    <t>sylos</t>
  </si>
  <si>
    <t>-14</t>
  </si>
  <si>
    <t>Claps</t>
  </si>
  <si>
    <t>+26</t>
  </si>
  <si>
    <t>darshan</t>
  </si>
  <si>
    <t>+35</t>
  </si>
  <si>
    <t>spaceman</t>
  </si>
  <si>
    <t>hascan</t>
  </si>
  <si>
    <t>-12</t>
  </si>
  <si>
    <t>niboos</t>
  </si>
  <si>
    <t>+34</t>
  </si>
  <si>
    <t>pavel</t>
  </si>
  <si>
    <t>androobee</t>
  </si>
  <si>
    <t>-19</t>
  </si>
  <si>
    <t>caesparz</t>
  </si>
  <si>
    <t>+18</t>
  </si>
  <si>
    <t>guilty crown</t>
  </si>
  <si>
    <t>-6</t>
  </si>
  <si>
    <t>skye</t>
  </si>
  <si>
    <t>shadow</t>
  </si>
  <si>
    <t>TS</t>
  </si>
  <si>
    <t>izz</t>
  </si>
  <si>
    <t>DRX</t>
  </si>
  <si>
    <t>-16</t>
  </si>
  <si>
    <t>longclaw</t>
  </si>
  <si>
    <t>platinum</t>
  </si>
  <si>
    <t>rudesubs</t>
  </si>
  <si>
    <t>teklologik</t>
  </si>
  <si>
    <t>aleks</t>
  </si>
  <si>
    <t>abstracq</t>
  </si>
  <si>
    <t>KOI</t>
  </si>
  <si>
    <t>catsmeow</t>
  </si>
  <si>
    <t>lucas</t>
  </si>
  <si>
    <t>night</t>
  </si>
  <si>
    <t>VALENTIA</t>
  </si>
  <si>
    <t>amiable</t>
  </si>
  <si>
    <t>KRU</t>
  </si>
  <si>
    <t>art</t>
  </si>
  <si>
    <t>Jack</t>
  </si>
  <si>
    <t>masao</t>
  </si>
  <si>
    <t>tery</t>
  </si>
  <si>
    <t>Angus</t>
  </si>
  <si>
    <t>SLLY</t>
  </si>
  <si>
    <t>cloud</t>
  </si>
  <si>
    <t>hyypernova</t>
  </si>
  <si>
    <t>lore</t>
  </si>
  <si>
    <t>pi</t>
  </si>
  <si>
    <t>epsilon</t>
  </si>
  <si>
    <t>haych</t>
  </si>
  <si>
    <t>igneous</t>
  </si>
  <si>
    <t>slow</t>
  </si>
  <si>
    <t>dunkn</t>
  </si>
  <si>
    <t>WOOD</t>
  </si>
  <si>
    <t>jenji</t>
  </si>
  <si>
    <t>snowfall</t>
  </si>
  <si>
    <t>Tenyaku</t>
  </si>
  <si>
    <t>Thighs</t>
  </si>
  <si>
    <t>+1</t>
  </si>
  <si>
    <t>+6</t>
  </si>
  <si>
    <t>+3</t>
  </si>
  <si>
    <t>-2</t>
  </si>
  <si>
    <t>+2</t>
  </si>
  <si>
    <t>+4</t>
  </si>
  <si>
    <t>-5</t>
  </si>
  <si>
    <t>-10</t>
  </si>
  <si>
    <t>-3</t>
  </si>
  <si>
    <t>-7</t>
  </si>
  <si>
    <t>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</si>
</sst>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808080"/>
      <name val="Aptos Narrow"/>
    </font>
    <font>
      <b/>
      <sz val="11"/>
      <color rgb="FF008000"/>
      <name val="Aptos Narrow"/>
    </font>
    <font>
      <b/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9" fontId="2" fillId="0" borderId="0" xfId="1" applyAlignment="1">
      <alignment horizontal="left"/>
    </xf>
    <xf numFmtId="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/>
    <xf numFmtId="9" fontId="0" fillId="0" borderId="3" xfId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9" fontId="2" fillId="0" borderId="4" xfId="1" applyBorder="1" applyAlignment="1">
      <alignment horizontal="left"/>
    </xf>
    <xf numFmtId="164" fontId="0" fillId="0" borderId="4" xfId="0" applyNumberFormat="1" applyBorder="1" applyAlignment="1">
      <alignment horizontal="left"/>
    </xf>
    <xf numFmtId="9" fontId="0" fillId="0" borderId="5" xfId="1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workbookViewId="0">
      <selection activeCell="A26" sqref="A26:XFD26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2.42578125" bestFit="1" customWidth="1"/>
    <col min="4" max="4" width="9.42578125" bestFit="1" customWidth="1"/>
    <col min="5" max="5" width="9.28515625" bestFit="1" customWidth="1"/>
    <col min="6" max="6" width="8.7109375" bestFit="1" customWidth="1"/>
    <col min="7" max="7" width="10" bestFit="1" customWidth="1"/>
    <col min="8" max="8" width="9.42578125" bestFit="1" customWidth="1"/>
    <col min="11" max="11" width="10.140625" bestFit="1" customWidth="1"/>
    <col min="12" max="12" width="10.42578125" bestFit="1" customWidth="1"/>
    <col min="13" max="13" width="9.7109375" bestFit="1" customWidth="1"/>
    <col min="14" max="14" width="9.5703125" bestFit="1" customWidth="1"/>
    <col min="15" max="15" width="8" bestFit="1" customWidth="1"/>
    <col min="16" max="16" width="10.5703125" bestFit="1" customWidth="1"/>
  </cols>
  <sheetData>
    <row r="1" spans="1:22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8" t="s">
        <v>21</v>
      </c>
    </row>
    <row r="2" spans="1:22" x14ac:dyDescent="0.25">
      <c r="A2" t="s">
        <v>111</v>
      </c>
      <c r="B2" s="10" t="s">
        <v>83</v>
      </c>
      <c r="C2" s="1">
        <v>473</v>
      </c>
      <c r="D2" s="2">
        <v>1.33</v>
      </c>
      <c r="E2" s="6">
        <v>312.52999999999997</v>
      </c>
      <c r="F2" s="2">
        <f t="shared" ref="F2:F33" si="0">Q2/R2</f>
        <v>1.4883720930232558</v>
      </c>
      <c r="G2" s="4">
        <v>0.74</v>
      </c>
      <c r="H2" s="5">
        <v>192.25</v>
      </c>
      <c r="I2" s="2">
        <f t="shared" ref="I2:I33" si="1">Q2/C2</f>
        <v>1.0824524312896406</v>
      </c>
      <c r="J2" s="2">
        <f t="shared" ref="J2:J33" si="2">S2/C2</f>
        <v>0.20718816067653276</v>
      </c>
      <c r="K2" s="2">
        <f t="shared" ref="K2:K33" si="3">T2/C2</f>
        <v>0.1945031712473573</v>
      </c>
      <c r="L2" s="2">
        <f t="shared" ref="L2:L33" si="4">U2/C2</f>
        <v>0.1331923890063425</v>
      </c>
      <c r="M2" s="4">
        <v>0.27</v>
      </c>
      <c r="N2" s="11">
        <f t="shared" ref="N2:N33" si="5">O2/C2</f>
        <v>1.9027484143763214E-2</v>
      </c>
      <c r="O2" s="1">
        <v>9</v>
      </c>
      <c r="P2" s="1">
        <v>38</v>
      </c>
      <c r="Q2" s="1">
        <v>512</v>
      </c>
      <c r="R2" s="1">
        <v>344</v>
      </c>
      <c r="S2" s="1">
        <v>98</v>
      </c>
      <c r="T2" s="1">
        <v>92</v>
      </c>
      <c r="U2" s="12">
        <v>63</v>
      </c>
      <c r="V2" s="28" t="s">
        <v>120</v>
      </c>
    </row>
    <row r="3" spans="1:22" x14ac:dyDescent="0.25">
      <c r="A3" t="s">
        <v>22</v>
      </c>
      <c r="B3" s="10" t="s">
        <v>23</v>
      </c>
      <c r="C3" s="1">
        <v>757</v>
      </c>
      <c r="D3" s="2">
        <v>1.29</v>
      </c>
      <c r="E3" s="6">
        <v>250.41</v>
      </c>
      <c r="F3" s="2">
        <f t="shared" si="0"/>
        <v>1.3191489361702127</v>
      </c>
      <c r="G3" s="3">
        <v>0.78</v>
      </c>
      <c r="H3" s="5">
        <v>177</v>
      </c>
      <c r="I3" s="2">
        <f t="shared" si="1"/>
        <v>0.8190224570673712</v>
      </c>
      <c r="J3" s="2">
        <f t="shared" si="2"/>
        <v>0.32100396301188905</v>
      </c>
      <c r="K3" s="2">
        <f t="shared" si="3"/>
        <v>9.2470277410832233E-2</v>
      </c>
      <c r="L3" s="2">
        <f t="shared" si="4"/>
        <v>5.6803170409511231E-2</v>
      </c>
      <c r="M3" s="3">
        <v>0.245</v>
      </c>
      <c r="N3" s="11">
        <f t="shared" si="5"/>
        <v>1.0568031704095112E-2</v>
      </c>
      <c r="O3" s="1">
        <v>8</v>
      </c>
      <c r="P3" s="1">
        <v>32</v>
      </c>
      <c r="Q3" s="1">
        <v>620</v>
      </c>
      <c r="R3" s="1">
        <v>470</v>
      </c>
      <c r="S3" s="1">
        <v>243</v>
      </c>
      <c r="T3" s="1">
        <v>70</v>
      </c>
      <c r="U3" s="12">
        <v>43</v>
      </c>
      <c r="V3" s="29" t="s">
        <v>121</v>
      </c>
    </row>
    <row r="4" spans="1:22" x14ac:dyDescent="0.25">
      <c r="A4" t="s">
        <v>25</v>
      </c>
      <c r="B4" s="10" t="s">
        <v>26</v>
      </c>
      <c r="C4" s="1">
        <v>691</v>
      </c>
      <c r="D4" s="2">
        <v>1.27</v>
      </c>
      <c r="E4" s="6">
        <v>289.79000000000002</v>
      </c>
      <c r="F4" s="2">
        <f t="shared" si="0"/>
        <v>1.3346303501945525</v>
      </c>
      <c r="G4" s="3">
        <v>0.75</v>
      </c>
      <c r="H4" s="5">
        <v>186.56</v>
      </c>
      <c r="I4" s="2">
        <f t="shared" si="1"/>
        <v>0.99276410998552822</v>
      </c>
      <c r="J4" s="2">
        <f t="shared" si="2"/>
        <v>0.22865412445730826</v>
      </c>
      <c r="K4" s="2">
        <f t="shared" si="3"/>
        <v>0.19247467438494936</v>
      </c>
      <c r="L4" s="2">
        <f t="shared" si="4"/>
        <v>0.13892908827785819</v>
      </c>
      <c r="M4" s="3">
        <v>0.25</v>
      </c>
      <c r="N4" s="11">
        <f t="shared" si="5"/>
        <v>2.8943560057887118E-3</v>
      </c>
      <c r="O4" s="1">
        <v>2</v>
      </c>
      <c r="P4" s="1">
        <v>48</v>
      </c>
      <c r="Q4" s="1">
        <v>686</v>
      </c>
      <c r="R4" s="1">
        <v>514</v>
      </c>
      <c r="S4" s="1">
        <v>158</v>
      </c>
      <c r="T4" s="1">
        <v>133</v>
      </c>
      <c r="U4" s="12">
        <v>96</v>
      </c>
      <c r="V4" s="29" t="s">
        <v>122</v>
      </c>
    </row>
    <row r="5" spans="1:22" x14ac:dyDescent="0.25">
      <c r="A5" t="s">
        <v>84</v>
      </c>
      <c r="B5" s="10" t="s">
        <v>85</v>
      </c>
      <c r="C5" s="1">
        <v>649</v>
      </c>
      <c r="D5" s="2">
        <v>1.26</v>
      </c>
      <c r="E5" s="6">
        <v>303.02999999999997</v>
      </c>
      <c r="F5" s="2">
        <f t="shared" si="0"/>
        <v>1.3360000000000001</v>
      </c>
      <c r="G5" s="3">
        <v>0.72</v>
      </c>
      <c r="H5" s="5">
        <v>191.4</v>
      </c>
      <c r="I5" s="2">
        <f t="shared" si="1"/>
        <v>1.0292758089368259</v>
      </c>
      <c r="J5" s="2">
        <f t="shared" si="2"/>
        <v>0.23112480739599384</v>
      </c>
      <c r="K5" s="2">
        <f t="shared" si="3"/>
        <v>0.22342064714946072</v>
      </c>
      <c r="L5" s="2">
        <f t="shared" si="4"/>
        <v>0.15870570107858242</v>
      </c>
      <c r="M5" s="3">
        <v>0.23</v>
      </c>
      <c r="N5" s="11">
        <f t="shared" si="5"/>
        <v>1.5408320493066256E-2</v>
      </c>
      <c r="O5" s="1">
        <v>10</v>
      </c>
      <c r="P5" s="1">
        <v>36</v>
      </c>
      <c r="Q5" s="1">
        <v>668</v>
      </c>
      <c r="R5" s="1">
        <v>500</v>
      </c>
      <c r="S5" s="1">
        <v>150</v>
      </c>
      <c r="T5" s="1">
        <v>145</v>
      </c>
      <c r="U5" s="12">
        <v>103</v>
      </c>
      <c r="V5" s="30" t="s">
        <v>24</v>
      </c>
    </row>
    <row r="6" spans="1:22" x14ac:dyDescent="0.25">
      <c r="A6" t="s">
        <v>28</v>
      </c>
      <c r="B6" s="10" t="s">
        <v>23</v>
      </c>
      <c r="C6" s="1">
        <v>881</v>
      </c>
      <c r="D6" s="2">
        <v>1.25</v>
      </c>
      <c r="E6" s="6">
        <v>272.94</v>
      </c>
      <c r="F6" s="2">
        <f t="shared" si="0"/>
        <v>1.4528000000000001</v>
      </c>
      <c r="G6" s="3">
        <v>0.74</v>
      </c>
      <c r="H6" s="5">
        <v>175.3</v>
      </c>
      <c r="I6" s="2">
        <f t="shared" si="1"/>
        <v>1.0306469920544836</v>
      </c>
      <c r="J6" s="2">
        <f t="shared" si="2"/>
        <v>0.18955732122587968</v>
      </c>
      <c r="K6" s="2">
        <f t="shared" si="3"/>
        <v>0.16799091940976163</v>
      </c>
      <c r="L6" s="2">
        <f t="shared" si="4"/>
        <v>0.11804767309875142</v>
      </c>
      <c r="M6" s="3">
        <v>0.44500000000000001</v>
      </c>
      <c r="N6" s="11">
        <f t="shared" si="5"/>
        <v>1.1350737797956867E-3</v>
      </c>
      <c r="O6" s="1">
        <v>1</v>
      </c>
      <c r="P6" s="1">
        <v>34</v>
      </c>
      <c r="Q6" s="1">
        <v>908</v>
      </c>
      <c r="R6" s="1">
        <v>625</v>
      </c>
      <c r="S6" s="1">
        <v>167</v>
      </c>
      <c r="T6" s="1">
        <v>148</v>
      </c>
      <c r="U6" s="12">
        <v>104</v>
      </c>
      <c r="V6" s="31" t="s">
        <v>123</v>
      </c>
    </row>
    <row r="7" spans="1:22" x14ac:dyDescent="0.25">
      <c r="A7" t="s">
        <v>95</v>
      </c>
      <c r="B7" s="10" t="s">
        <v>93</v>
      </c>
      <c r="C7" s="1">
        <v>684</v>
      </c>
      <c r="D7" s="2">
        <v>1.23</v>
      </c>
      <c r="E7" s="6">
        <v>277.76</v>
      </c>
      <c r="F7" s="2">
        <f t="shared" si="0"/>
        <v>1.2938856015779092</v>
      </c>
      <c r="G7" s="3">
        <v>0.73</v>
      </c>
      <c r="H7" s="5">
        <v>184.87</v>
      </c>
      <c r="I7" s="2">
        <f t="shared" si="1"/>
        <v>0.95906432748538006</v>
      </c>
      <c r="J7" s="2">
        <f t="shared" si="2"/>
        <v>0.19005847953216373</v>
      </c>
      <c r="K7" s="2">
        <f t="shared" si="3"/>
        <v>0.17251461988304093</v>
      </c>
      <c r="L7" s="2">
        <f t="shared" si="4"/>
        <v>0.12719298245614036</v>
      </c>
      <c r="M7" s="3">
        <v>0.26</v>
      </c>
      <c r="N7" s="11">
        <f t="shared" si="5"/>
        <v>7.3099415204678359E-3</v>
      </c>
      <c r="O7" s="1">
        <v>5</v>
      </c>
      <c r="P7" s="1">
        <v>32</v>
      </c>
      <c r="Q7" s="1">
        <v>656</v>
      </c>
      <c r="R7" s="1">
        <v>507</v>
      </c>
      <c r="S7" s="1">
        <v>130</v>
      </c>
      <c r="T7" s="1">
        <v>118</v>
      </c>
      <c r="U7" s="12">
        <v>87</v>
      </c>
      <c r="V7" s="31" t="s">
        <v>29</v>
      </c>
    </row>
    <row r="8" spans="1:22" x14ac:dyDescent="0.25">
      <c r="A8" t="s">
        <v>119</v>
      </c>
      <c r="B8" s="10" t="s">
        <v>115</v>
      </c>
      <c r="C8" s="1">
        <v>376</v>
      </c>
      <c r="D8" s="2">
        <v>1.23</v>
      </c>
      <c r="E8" s="6">
        <v>252.13</v>
      </c>
      <c r="F8" s="2">
        <f t="shared" si="0"/>
        <v>1.2796934865900382</v>
      </c>
      <c r="G8" s="3">
        <v>0.76</v>
      </c>
      <c r="H8" s="5">
        <v>165.28</v>
      </c>
      <c r="I8" s="2">
        <f t="shared" si="1"/>
        <v>0.88829787234042556</v>
      </c>
      <c r="J8" s="2">
        <f t="shared" si="2"/>
        <v>0.39095744680851063</v>
      </c>
      <c r="K8" s="2">
        <f t="shared" si="3"/>
        <v>6.6489361702127658E-2</v>
      </c>
      <c r="L8" s="2">
        <f t="shared" si="4"/>
        <v>5.3191489361702128E-2</v>
      </c>
      <c r="M8" s="3">
        <v>0.28999999999999998</v>
      </c>
      <c r="N8" s="11">
        <f t="shared" si="5"/>
        <v>2.6595744680851064E-2</v>
      </c>
      <c r="O8" s="1">
        <v>10</v>
      </c>
      <c r="P8" s="1">
        <v>37</v>
      </c>
      <c r="Q8" s="1">
        <v>334</v>
      </c>
      <c r="R8" s="1">
        <v>261</v>
      </c>
      <c r="S8" s="1">
        <v>147</v>
      </c>
      <c r="T8" s="1">
        <v>25</v>
      </c>
      <c r="U8" s="12">
        <v>20</v>
      </c>
      <c r="V8" s="30" t="s">
        <v>24</v>
      </c>
    </row>
    <row r="9" spans="1:22" x14ac:dyDescent="0.25">
      <c r="A9" t="s">
        <v>91</v>
      </c>
      <c r="B9" s="10" t="s">
        <v>31</v>
      </c>
      <c r="C9" s="1">
        <v>160</v>
      </c>
      <c r="D9" s="2">
        <v>1.17</v>
      </c>
      <c r="E9" s="6">
        <v>231.34</v>
      </c>
      <c r="F9" s="2">
        <f t="shared" si="0"/>
        <v>1.2761904761904761</v>
      </c>
      <c r="G9" s="3">
        <v>0.76</v>
      </c>
      <c r="H9" s="5">
        <v>146.47</v>
      </c>
      <c r="I9" s="2">
        <f t="shared" si="1"/>
        <v>0.83750000000000002</v>
      </c>
      <c r="J9" s="2">
        <f t="shared" si="2"/>
        <v>0.28125</v>
      </c>
      <c r="K9" s="2">
        <f t="shared" si="3"/>
        <v>0.1125</v>
      </c>
      <c r="L9" s="2">
        <f t="shared" si="4"/>
        <v>8.7499999999999994E-2</v>
      </c>
      <c r="M9" s="3">
        <v>0.19</v>
      </c>
      <c r="N9" s="11">
        <f t="shared" si="5"/>
        <v>1.8749999999999999E-2</v>
      </c>
      <c r="O9" s="1">
        <v>3</v>
      </c>
      <c r="P9" s="1">
        <v>25</v>
      </c>
      <c r="Q9" s="1">
        <v>134</v>
      </c>
      <c r="R9" s="1">
        <v>105</v>
      </c>
      <c r="S9" s="1">
        <v>45</v>
      </c>
      <c r="T9" s="1">
        <v>18</v>
      </c>
      <c r="U9" s="12">
        <v>14</v>
      </c>
      <c r="V9" s="29" t="s">
        <v>124</v>
      </c>
    </row>
    <row r="10" spans="1:22" x14ac:dyDescent="0.25">
      <c r="A10" t="s">
        <v>65</v>
      </c>
      <c r="B10" s="10" t="s">
        <v>46</v>
      </c>
      <c r="C10" s="1">
        <v>560</v>
      </c>
      <c r="D10" s="2">
        <v>1.1499999999999999</v>
      </c>
      <c r="E10" s="6">
        <v>265.68</v>
      </c>
      <c r="F10" s="2">
        <f t="shared" si="0"/>
        <v>1.426605504587156</v>
      </c>
      <c r="G10" s="3">
        <v>0.755</v>
      </c>
      <c r="H10" s="5">
        <v>178.55</v>
      </c>
      <c r="I10" s="2">
        <f t="shared" si="1"/>
        <v>1.1107142857142858</v>
      </c>
      <c r="J10" s="2">
        <f t="shared" si="2"/>
        <v>0.32678571428571429</v>
      </c>
      <c r="K10" s="2">
        <f t="shared" si="3"/>
        <v>0.1357142857142857</v>
      </c>
      <c r="L10" s="2">
        <f t="shared" si="4"/>
        <v>0.11607142857142858</v>
      </c>
      <c r="M10" s="3">
        <v>0.2</v>
      </c>
      <c r="N10" s="11">
        <f t="shared" si="5"/>
        <v>1.4285714285714285E-2</v>
      </c>
      <c r="O10" s="1">
        <v>8</v>
      </c>
      <c r="P10" s="1">
        <v>40</v>
      </c>
      <c r="Q10" s="1">
        <v>622</v>
      </c>
      <c r="R10" s="1">
        <v>436</v>
      </c>
      <c r="S10" s="1">
        <v>183</v>
      </c>
      <c r="T10" s="1">
        <v>76</v>
      </c>
      <c r="U10" s="12">
        <v>65</v>
      </c>
      <c r="V10" s="31" t="s">
        <v>51</v>
      </c>
    </row>
    <row r="11" spans="1:22" x14ac:dyDescent="0.25">
      <c r="A11" t="s">
        <v>35</v>
      </c>
      <c r="B11" s="10" t="s">
        <v>36</v>
      </c>
      <c r="C11" s="7">
        <v>716</v>
      </c>
      <c r="D11" s="2">
        <v>1.1499999999999999</v>
      </c>
      <c r="E11" s="6">
        <v>245.06</v>
      </c>
      <c r="F11" s="2">
        <f t="shared" si="0"/>
        <v>1.2591093117408907</v>
      </c>
      <c r="G11" s="3">
        <v>0.71</v>
      </c>
      <c r="H11" s="5">
        <v>160.43</v>
      </c>
      <c r="I11" s="2">
        <f t="shared" si="1"/>
        <v>0.86871508379888274</v>
      </c>
      <c r="J11" s="2">
        <f t="shared" si="2"/>
        <v>0.23463687150837989</v>
      </c>
      <c r="K11" s="2">
        <f t="shared" si="3"/>
        <v>0.17597765363128492</v>
      </c>
      <c r="L11" s="2">
        <f t="shared" si="4"/>
        <v>0.16061452513966482</v>
      </c>
      <c r="M11" s="3">
        <v>0.31</v>
      </c>
      <c r="N11" s="11">
        <f t="shared" si="5"/>
        <v>9.7765363128491621E-3</v>
      </c>
      <c r="O11" s="7">
        <v>7</v>
      </c>
      <c r="P11" s="7">
        <v>39</v>
      </c>
      <c r="Q11" s="7">
        <v>622</v>
      </c>
      <c r="R11" s="7">
        <v>494</v>
      </c>
      <c r="S11" s="7">
        <v>168</v>
      </c>
      <c r="T11" s="7">
        <v>126</v>
      </c>
      <c r="U11" s="22">
        <v>115</v>
      </c>
      <c r="V11" s="31" t="s">
        <v>29</v>
      </c>
    </row>
    <row r="12" spans="1:22" x14ac:dyDescent="0.25">
      <c r="A12" t="s">
        <v>38</v>
      </c>
      <c r="B12" s="10" t="s">
        <v>26</v>
      </c>
      <c r="C12" s="1">
        <v>653</v>
      </c>
      <c r="D12" s="2">
        <v>1.1399999999999999</v>
      </c>
      <c r="E12" s="6">
        <v>232.65</v>
      </c>
      <c r="F12" s="2">
        <f t="shared" si="0"/>
        <v>1.2224719101123596</v>
      </c>
      <c r="G12" s="3">
        <v>0.73</v>
      </c>
      <c r="H12" s="5">
        <v>151.05000000000001</v>
      </c>
      <c r="I12" s="2">
        <f t="shared" si="1"/>
        <v>0.83307810107197555</v>
      </c>
      <c r="J12" s="2">
        <f t="shared" si="2"/>
        <v>0.26033690658499237</v>
      </c>
      <c r="K12" s="2">
        <f t="shared" si="3"/>
        <v>0.13782542113323124</v>
      </c>
      <c r="L12" s="2">
        <f t="shared" si="4"/>
        <v>0.10260336906584992</v>
      </c>
      <c r="M12" s="3">
        <v>0.22500000000000001</v>
      </c>
      <c r="N12" s="11">
        <f t="shared" si="5"/>
        <v>1.2251148545176111E-2</v>
      </c>
      <c r="O12" s="1">
        <v>8</v>
      </c>
      <c r="P12" s="1">
        <v>28</v>
      </c>
      <c r="Q12" s="1">
        <v>544</v>
      </c>
      <c r="R12" s="1">
        <v>445</v>
      </c>
      <c r="S12" s="1">
        <v>170</v>
      </c>
      <c r="T12" s="1">
        <v>90</v>
      </c>
      <c r="U12" s="12">
        <v>67</v>
      </c>
      <c r="V12" s="30" t="s">
        <v>24</v>
      </c>
    </row>
    <row r="13" spans="1:22" x14ac:dyDescent="0.25">
      <c r="A13" t="s">
        <v>33</v>
      </c>
      <c r="B13" s="10" t="s">
        <v>26</v>
      </c>
      <c r="C13" s="1">
        <v>795</v>
      </c>
      <c r="D13" s="2">
        <v>1.1299999999999999</v>
      </c>
      <c r="E13" s="6">
        <v>210.41</v>
      </c>
      <c r="F13" s="2">
        <f t="shared" si="0"/>
        <v>1.2015655577299413</v>
      </c>
      <c r="G13" s="3">
        <v>0.745</v>
      </c>
      <c r="H13" s="5">
        <v>134.96</v>
      </c>
      <c r="I13" s="2">
        <f t="shared" si="1"/>
        <v>0.77232704402515728</v>
      </c>
      <c r="J13" s="2">
        <f t="shared" si="2"/>
        <v>0.33584905660377357</v>
      </c>
      <c r="K13" s="2">
        <f t="shared" si="3"/>
        <v>6.6666666666666666E-2</v>
      </c>
      <c r="L13" s="2">
        <f t="shared" si="4"/>
        <v>4.6540880503144651E-2</v>
      </c>
      <c r="M13" s="3">
        <v>0.25</v>
      </c>
      <c r="N13" s="11">
        <f t="shared" si="5"/>
        <v>2.0125786163522012E-2</v>
      </c>
      <c r="O13" s="1">
        <v>16</v>
      </c>
      <c r="P13" s="1">
        <v>31</v>
      </c>
      <c r="Q13" s="1">
        <v>614</v>
      </c>
      <c r="R13" s="1">
        <v>511</v>
      </c>
      <c r="S13" s="1">
        <v>267</v>
      </c>
      <c r="T13" s="1">
        <v>53</v>
      </c>
      <c r="U13" s="12">
        <v>37</v>
      </c>
      <c r="V13" s="29" t="s">
        <v>124</v>
      </c>
    </row>
    <row r="14" spans="1:22" x14ac:dyDescent="0.25">
      <c r="A14" t="s">
        <v>40</v>
      </c>
      <c r="B14" s="10" t="s">
        <v>41</v>
      </c>
      <c r="C14" s="1">
        <v>746</v>
      </c>
      <c r="D14" s="2">
        <v>1.1200000000000001</v>
      </c>
      <c r="E14" s="6">
        <v>250.75</v>
      </c>
      <c r="F14" s="2">
        <f t="shared" si="0"/>
        <v>1.1639042357274401</v>
      </c>
      <c r="G14" s="3">
        <v>0.72</v>
      </c>
      <c r="H14" s="5">
        <v>160.75</v>
      </c>
      <c r="I14" s="2">
        <f t="shared" si="1"/>
        <v>0.84718498659517427</v>
      </c>
      <c r="J14" s="2">
        <f t="shared" si="2"/>
        <v>0.30026809651474529</v>
      </c>
      <c r="K14" s="2">
        <f t="shared" si="3"/>
        <v>0.17962466487935658</v>
      </c>
      <c r="L14" s="2">
        <f t="shared" si="4"/>
        <v>0.12868632707774799</v>
      </c>
      <c r="M14" s="3">
        <v>0.2</v>
      </c>
      <c r="N14" s="11">
        <f t="shared" si="5"/>
        <v>2.6809651474530832E-3</v>
      </c>
      <c r="O14" s="1">
        <v>2</v>
      </c>
      <c r="P14" s="1">
        <v>33</v>
      </c>
      <c r="Q14" s="1">
        <v>632</v>
      </c>
      <c r="R14" s="1">
        <v>543</v>
      </c>
      <c r="S14" s="1">
        <v>224</v>
      </c>
      <c r="T14" s="1">
        <v>134</v>
      </c>
      <c r="U14" s="12">
        <v>96</v>
      </c>
      <c r="V14" s="31" t="s">
        <v>29</v>
      </c>
    </row>
    <row r="15" spans="1:22" x14ac:dyDescent="0.25">
      <c r="A15" t="s">
        <v>104</v>
      </c>
      <c r="B15" s="10" t="s">
        <v>105</v>
      </c>
      <c r="C15" s="1">
        <v>490</v>
      </c>
      <c r="D15" s="2">
        <v>1.1000000000000001</v>
      </c>
      <c r="E15" s="6">
        <v>253.89</v>
      </c>
      <c r="F15" s="2">
        <f t="shared" si="0"/>
        <v>1.1293800539083558</v>
      </c>
      <c r="G15" s="3">
        <v>0.69</v>
      </c>
      <c r="H15" s="5">
        <v>163.26</v>
      </c>
      <c r="I15" s="2">
        <f t="shared" si="1"/>
        <v>0.85510204081632657</v>
      </c>
      <c r="J15" s="2">
        <f t="shared" si="2"/>
        <v>0.24285714285714285</v>
      </c>
      <c r="K15" s="2">
        <f t="shared" si="3"/>
        <v>0.18979591836734694</v>
      </c>
      <c r="L15" s="2">
        <f t="shared" si="4"/>
        <v>0.13469387755102041</v>
      </c>
      <c r="M15" s="3">
        <v>0.25</v>
      </c>
      <c r="N15" s="11">
        <f t="shared" si="5"/>
        <v>4.0816326530612249E-3</v>
      </c>
      <c r="O15" s="1">
        <v>2</v>
      </c>
      <c r="P15" s="1">
        <v>32</v>
      </c>
      <c r="Q15" s="1">
        <v>419</v>
      </c>
      <c r="R15" s="1">
        <v>371</v>
      </c>
      <c r="S15" s="1">
        <v>119</v>
      </c>
      <c r="T15" s="1">
        <v>93</v>
      </c>
      <c r="U15" s="12">
        <v>66</v>
      </c>
      <c r="V15" s="29" t="s">
        <v>124</v>
      </c>
    </row>
    <row r="16" spans="1:22" x14ac:dyDescent="0.25">
      <c r="A16" t="s">
        <v>43</v>
      </c>
      <c r="B16" s="10" t="s">
        <v>31</v>
      </c>
      <c r="C16" s="1">
        <v>511</v>
      </c>
      <c r="D16" s="2">
        <v>1.1000000000000001</v>
      </c>
      <c r="E16" s="6">
        <v>235.95</v>
      </c>
      <c r="F16" s="2">
        <f t="shared" si="0"/>
        <v>1.2197183098591549</v>
      </c>
      <c r="G16" s="3">
        <v>0.73</v>
      </c>
      <c r="H16" s="5">
        <v>151.22</v>
      </c>
      <c r="I16" s="2">
        <f t="shared" si="1"/>
        <v>0.84735812133072408</v>
      </c>
      <c r="J16" s="2">
        <f t="shared" si="2"/>
        <v>0.16242661448140899</v>
      </c>
      <c r="K16" s="2">
        <f t="shared" si="3"/>
        <v>0.12524461839530332</v>
      </c>
      <c r="L16" s="2">
        <f t="shared" si="4"/>
        <v>8.4148727984344418E-2</v>
      </c>
      <c r="M16" s="3">
        <v>0.33500000000000002</v>
      </c>
      <c r="N16" s="11">
        <f t="shared" si="5"/>
        <v>1.5655577299412915E-2</v>
      </c>
      <c r="O16" s="1">
        <v>8</v>
      </c>
      <c r="P16" s="1">
        <v>31</v>
      </c>
      <c r="Q16" s="1">
        <v>433</v>
      </c>
      <c r="R16" s="1">
        <v>355</v>
      </c>
      <c r="S16" s="1">
        <v>83</v>
      </c>
      <c r="T16" s="1">
        <v>64</v>
      </c>
      <c r="U16" s="12">
        <v>43</v>
      </c>
      <c r="V16" s="30" t="s">
        <v>24</v>
      </c>
    </row>
    <row r="17" spans="1:22" x14ac:dyDescent="0.25">
      <c r="A17" t="s">
        <v>116</v>
      </c>
      <c r="B17" s="10" t="s">
        <v>115</v>
      </c>
      <c r="C17" s="1">
        <v>281</v>
      </c>
      <c r="D17" s="2">
        <v>1.0900000000000001</v>
      </c>
      <c r="E17" s="6">
        <v>223</v>
      </c>
      <c r="F17" s="2">
        <f t="shared" si="0"/>
        <v>1.0923076923076922</v>
      </c>
      <c r="G17" s="3">
        <v>0.74</v>
      </c>
      <c r="H17" s="5">
        <v>147.66999999999999</v>
      </c>
      <c r="I17" s="2">
        <f t="shared" si="1"/>
        <v>0.75800711743772242</v>
      </c>
      <c r="J17" s="2">
        <f t="shared" si="2"/>
        <v>0.27402135231316727</v>
      </c>
      <c r="K17" s="2">
        <f t="shared" si="3"/>
        <v>0.13167259786476868</v>
      </c>
      <c r="L17" s="2">
        <f t="shared" si="4"/>
        <v>0.14590747330960854</v>
      </c>
      <c r="M17" s="3">
        <v>0.22</v>
      </c>
      <c r="N17" s="11">
        <f t="shared" si="5"/>
        <v>1.4234875444839857E-2</v>
      </c>
      <c r="O17" s="1">
        <v>4</v>
      </c>
      <c r="P17" s="1">
        <v>25</v>
      </c>
      <c r="Q17" s="1">
        <v>213</v>
      </c>
      <c r="R17" s="1">
        <v>195</v>
      </c>
      <c r="S17" s="1">
        <v>77</v>
      </c>
      <c r="T17" s="1">
        <v>37</v>
      </c>
      <c r="U17" s="12">
        <v>41</v>
      </c>
      <c r="V17" s="29" t="s">
        <v>120</v>
      </c>
    </row>
    <row r="18" spans="1:22" x14ac:dyDescent="0.25">
      <c r="A18" t="s">
        <v>45</v>
      </c>
      <c r="B18" s="10" t="s">
        <v>46</v>
      </c>
      <c r="C18" s="1">
        <v>573</v>
      </c>
      <c r="D18" s="2">
        <v>1.08</v>
      </c>
      <c r="E18" s="6">
        <v>232.58</v>
      </c>
      <c r="F18" s="2">
        <f t="shared" si="0"/>
        <v>1.2160664819944598</v>
      </c>
      <c r="G18" s="3">
        <v>0.67999999999999994</v>
      </c>
      <c r="H18" s="5">
        <v>146.77000000000001</v>
      </c>
      <c r="I18" s="2">
        <f t="shared" si="1"/>
        <v>0.7661431064572426</v>
      </c>
      <c r="J18" s="2">
        <f t="shared" si="2"/>
        <v>0.13089005235602094</v>
      </c>
      <c r="K18" s="2">
        <f t="shared" si="3"/>
        <v>0.14485165794066318</v>
      </c>
      <c r="L18" s="2">
        <f t="shared" si="4"/>
        <v>6.8062827225130892E-2</v>
      </c>
      <c r="M18" s="3">
        <v>0.245</v>
      </c>
      <c r="N18" s="11">
        <f t="shared" si="5"/>
        <v>1.0471204188481676E-2</v>
      </c>
      <c r="O18" s="1">
        <v>6</v>
      </c>
      <c r="P18" s="1">
        <v>27</v>
      </c>
      <c r="Q18" s="1">
        <v>439</v>
      </c>
      <c r="R18" s="1">
        <v>361</v>
      </c>
      <c r="S18" s="1">
        <v>75</v>
      </c>
      <c r="T18" s="1">
        <v>83</v>
      </c>
      <c r="U18" s="12">
        <v>39</v>
      </c>
      <c r="V18" s="29" t="s">
        <v>122</v>
      </c>
    </row>
    <row r="19" spans="1:22" x14ac:dyDescent="0.25">
      <c r="A19" t="s">
        <v>109</v>
      </c>
      <c r="B19" s="10" t="s">
        <v>105</v>
      </c>
      <c r="C19" s="1">
        <v>492</v>
      </c>
      <c r="D19" s="2">
        <v>1.08</v>
      </c>
      <c r="E19" s="6">
        <v>219.91</v>
      </c>
      <c r="F19" s="2">
        <f t="shared" si="0"/>
        <v>1.1005747126436782</v>
      </c>
      <c r="G19" s="3">
        <v>0.73</v>
      </c>
      <c r="H19" s="5">
        <v>147.08000000000001</v>
      </c>
      <c r="I19" s="2">
        <f t="shared" si="1"/>
        <v>0.77845528455284552</v>
      </c>
      <c r="J19" s="2">
        <f t="shared" si="2"/>
        <v>0.258130081300813</v>
      </c>
      <c r="K19" s="2">
        <f t="shared" si="3"/>
        <v>0.10365853658536585</v>
      </c>
      <c r="L19" s="2">
        <f t="shared" si="4"/>
        <v>0.10569105691056911</v>
      </c>
      <c r="M19" s="3">
        <v>0.23</v>
      </c>
      <c r="N19" s="11">
        <f t="shared" si="5"/>
        <v>1.2195121951219513E-2</v>
      </c>
      <c r="O19" s="1">
        <v>6</v>
      </c>
      <c r="P19" s="1">
        <v>26</v>
      </c>
      <c r="Q19" s="1">
        <v>383</v>
      </c>
      <c r="R19" s="1">
        <v>348</v>
      </c>
      <c r="S19" s="1">
        <v>127</v>
      </c>
      <c r="T19" s="1">
        <v>51</v>
      </c>
      <c r="U19" s="12">
        <v>52</v>
      </c>
      <c r="V19" s="29" t="s">
        <v>120</v>
      </c>
    </row>
    <row r="20" spans="1:22" x14ac:dyDescent="0.25">
      <c r="A20" t="s">
        <v>102</v>
      </c>
      <c r="B20" s="10" t="s">
        <v>99</v>
      </c>
      <c r="C20" s="1">
        <v>484</v>
      </c>
      <c r="D20" s="2">
        <v>1.07</v>
      </c>
      <c r="E20" s="6">
        <v>230.68</v>
      </c>
      <c r="F20" s="2">
        <f t="shared" si="0"/>
        <v>1.0847457627118644</v>
      </c>
      <c r="G20" s="3">
        <v>0.72</v>
      </c>
      <c r="H20" s="5">
        <v>148.54</v>
      </c>
      <c r="I20" s="2">
        <f t="shared" si="1"/>
        <v>0.79338842975206614</v>
      </c>
      <c r="J20" s="2">
        <f t="shared" si="2"/>
        <v>0.28719008264462809</v>
      </c>
      <c r="K20" s="2">
        <f t="shared" si="3"/>
        <v>7.43801652892562E-2</v>
      </c>
      <c r="L20" s="2">
        <f t="shared" si="4"/>
        <v>6.1983471074380167E-2</v>
      </c>
      <c r="M20" s="3">
        <v>0.25</v>
      </c>
      <c r="N20" s="11">
        <f t="shared" si="5"/>
        <v>1.6528925619834711E-2</v>
      </c>
      <c r="O20" s="1">
        <v>8</v>
      </c>
      <c r="P20" s="1">
        <v>30</v>
      </c>
      <c r="Q20" s="1">
        <v>384</v>
      </c>
      <c r="R20" s="1">
        <v>354</v>
      </c>
      <c r="S20" s="1">
        <v>139</v>
      </c>
      <c r="T20" s="1">
        <v>36</v>
      </c>
      <c r="U20" s="12">
        <v>30</v>
      </c>
      <c r="V20" s="29" t="s">
        <v>122</v>
      </c>
    </row>
    <row r="21" spans="1:22" x14ac:dyDescent="0.25">
      <c r="A21" t="s">
        <v>92</v>
      </c>
      <c r="B21" s="10" t="s">
        <v>93</v>
      </c>
      <c r="C21" s="1">
        <v>608</v>
      </c>
      <c r="D21" s="2">
        <v>1.05</v>
      </c>
      <c r="E21" s="6">
        <v>215.85</v>
      </c>
      <c r="F21" s="2">
        <f t="shared" si="0"/>
        <v>1.0756880733944953</v>
      </c>
      <c r="G21" s="3">
        <v>0.73</v>
      </c>
      <c r="H21" s="5">
        <v>139.76</v>
      </c>
      <c r="I21" s="2">
        <f t="shared" si="1"/>
        <v>0.77138157894736847</v>
      </c>
      <c r="J21" s="2">
        <f t="shared" si="2"/>
        <v>0.29111842105263158</v>
      </c>
      <c r="K21" s="2">
        <f t="shared" si="3"/>
        <v>9.375E-2</v>
      </c>
      <c r="L21" s="2">
        <f t="shared" si="4"/>
        <v>8.8815789473684209E-2</v>
      </c>
      <c r="M21" s="3">
        <v>0.23</v>
      </c>
      <c r="N21" s="11">
        <f t="shared" si="5"/>
        <v>1.4802631578947368E-2</v>
      </c>
      <c r="O21" s="1">
        <v>9</v>
      </c>
      <c r="P21" s="1">
        <v>26</v>
      </c>
      <c r="Q21" s="1">
        <v>469</v>
      </c>
      <c r="R21" s="1">
        <v>436</v>
      </c>
      <c r="S21" s="1">
        <v>177</v>
      </c>
      <c r="T21" s="1">
        <v>57</v>
      </c>
      <c r="U21" s="12">
        <v>54</v>
      </c>
      <c r="V21" s="29" t="s">
        <v>59</v>
      </c>
    </row>
    <row r="22" spans="1:22" x14ac:dyDescent="0.25">
      <c r="A22" t="s">
        <v>49</v>
      </c>
      <c r="B22" s="10" t="s">
        <v>26</v>
      </c>
      <c r="C22" s="1">
        <v>751</v>
      </c>
      <c r="D22" s="2">
        <v>1.04</v>
      </c>
      <c r="E22" s="6">
        <v>202.34</v>
      </c>
      <c r="F22" s="2">
        <f t="shared" si="0"/>
        <v>1.027237354085603</v>
      </c>
      <c r="G22" s="3">
        <v>0.76500000000000001</v>
      </c>
      <c r="H22" s="5">
        <v>124.66</v>
      </c>
      <c r="I22" s="2">
        <f t="shared" si="1"/>
        <v>0.70306258322237014</v>
      </c>
      <c r="J22" s="2">
        <f t="shared" si="2"/>
        <v>0.38348868175765644</v>
      </c>
      <c r="K22" s="2">
        <f t="shared" si="3"/>
        <v>0.11451398135818908</v>
      </c>
      <c r="L22" s="2">
        <f t="shared" si="4"/>
        <v>0.11984021304926765</v>
      </c>
      <c r="M22" s="3">
        <v>0.17</v>
      </c>
      <c r="N22" s="11">
        <f t="shared" si="5"/>
        <v>7.989347536617843E-3</v>
      </c>
      <c r="O22" s="1">
        <v>6</v>
      </c>
      <c r="P22" s="1">
        <v>23</v>
      </c>
      <c r="Q22" s="1">
        <v>528</v>
      </c>
      <c r="R22" s="1">
        <v>514</v>
      </c>
      <c r="S22" s="1">
        <v>288</v>
      </c>
      <c r="T22" s="1">
        <v>86</v>
      </c>
      <c r="U22" s="12">
        <v>90</v>
      </c>
      <c r="V22" s="29" t="s">
        <v>59</v>
      </c>
    </row>
    <row r="23" spans="1:22" x14ac:dyDescent="0.25">
      <c r="A23" t="s">
        <v>96</v>
      </c>
      <c r="B23" s="10" t="s">
        <v>93</v>
      </c>
      <c r="C23" s="1">
        <v>653</v>
      </c>
      <c r="D23" s="2">
        <v>1.03</v>
      </c>
      <c r="E23" s="6">
        <v>224.45</v>
      </c>
      <c r="F23" s="2">
        <f t="shared" si="0"/>
        <v>1.0159680638722555</v>
      </c>
      <c r="G23" s="3">
        <v>0.74</v>
      </c>
      <c r="H23" s="5">
        <v>143.94999999999999</v>
      </c>
      <c r="I23" s="2">
        <f t="shared" si="1"/>
        <v>0.77947932618683002</v>
      </c>
      <c r="J23" s="2">
        <f t="shared" si="2"/>
        <v>0.31240428790199082</v>
      </c>
      <c r="K23" s="2">
        <f t="shared" si="3"/>
        <v>0.11026033690658499</v>
      </c>
      <c r="L23" s="2">
        <f t="shared" si="4"/>
        <v>0.11944869831546708</v>
      </c>
      <c r="M23" s="3">
        <v>0.28999999999999998</v>
      </c>
      <c r="N23" s="11">
        <f t="shared" si="5"/>
        <v>1.2251148545176111E-2</v>
      </c>
      <c r="O23" s="1">
        <v>8</v>
      </c>
      <c r="P23" s="1">
        <v>28</v>
      </c>
      <c r="Q23" s="1">
        <v>509</v>
      </c>
      <c r="R23" s="1">
        <v>501</v>
      </c>
      <c r="S23" s="1">
        <v>204</v>
      </c>
      <c r="T23" s="1">
        <v>72</v>
      </c>
      <c r="U23" s="12">
        <v>78</v>
      </c>
      <c r="V23" s="29" t="s">
        <v>121</v>
      </c>
    </row>
    <row r="24" spans="1:22" x14ac:dyDescent="0.25">
      <c r="A24" t="s">
        <v>50</v>
      </c>
      <c r="B24" s="10" t="s">
        <v>41</v>
      </c>
      <c r="C24" s="1">
        <v>664</v>
      </c>
      <c r="D24" s="2">
        <v>1.02</v>
      </c>
      <c r="E24" s="6">
        <v>190.63</v>
      </c>
      <c r="F24" s="2">
        <f t="shared" si="0"/>
        <v>1.0877598152424943</v>
      </c>
      <c r="G24" s="3">
        <v>0.73</v>
      </c>
      <c r="H24" s="5">
        <v>125.59</v>
      </c>
      <c r="I24" s="2">
        <f t="shared" si="1"/>
        <v>0.70933734939759041</v>
      </c>
      <c r="J24" s="2">
        <f t="shared" si="2"/>
        <v>0.25</v>
      </c>
      <c r="K24" s="2">
        <f t="shared" si="3"/>
        <v>6.4759036144578314E-2</v>
      </c>
      <c r="L24" s="2">
        <f t="shared" si="4"/>
        <v>7.8313253012048195E-2</v>
      </c>
      <c r="M24" s="3">
        <v>0.20499999999999999</v>
      </c>
      <c r="N24" s="11">
        <f t="shared" si="5"/>
        <v>1.5060240963855422E-2</v>
      </c>
      <c r="O24" s="1">
        <v>10</v>
      </c>
      <c r="P24" s="1">
        <v>26</v>
      </c>
      <c r="Q24" s="1">
        <v>471</v>
      </c>
      <c r="R24" s="1">
        <v>433</v>
      </c>
      <c r="S24" s="1">
        <v>166</v>
      </c>
      <c r="T24" s="1">
        <v>43</v>
      </c>
      <c r="U24" s="12">
        <v>52</v>
      </c>
      <c r="V24" s="29" t="s">
        <v>125</v>
      </c>
    </row>
    <row r="25" spans="1:22" x14ac:dyDescent="0.25">
      <c r="A25" t="s">
        <v>87</v>
      </c>
      <c r="B25" s="10" t="s">
        <v>85</v>
      </c>
      <c r="C25" s="1">
        <v>659</v>
      </c>
      <c r="D25" s="2">
        <v>1.02</v>
      </c>
      <c r="E25" s="6">
        <v>183.16</v>
      </c>
      <c r="F25" s="2">
        <f t="shared" si="0"/>
        <v>0.99765258215962438</v>
      </c>
      <c r="G25" s="3">
        <v>0.73</v>
      </c>
      <c r="H25" s="5">
        <v>126.58</v>
      </c>
      <c r="I25" s="2">
        <f t="shared" si="1"/>
        <v>0.64491654021244305</v>
      </c>
      <c r="J25" s="2">
        <f t="shared" si="2"/>
        <v>0.31866464339908951</v>
      </c>
      <c r="K25" s="2">
        <f t="shared" si="3"/>
        <v>3.7936267071320182E-2</v>
      </c>
      <c r="L25" s="2">
        <f t="shared" si="4"/>
        <v>2.4279210925644917E-2</v>
      </c>
      <c r="M25" s="3">
        <v>0.24</v>
      </c>
      <c r="N25" s="11">
        <f t="shared" si="5"/>
        <v>9.104704097116844E-3</v>
      </c>
      <c r="O25" s="1">
        <v>6</v>
      </c>
      <c r="P25" s="1">
        <v>28</v>
      </c>
      <c r="Q25" s="1">
        <v>425</v>
      </c>
      <c r="R25" s="1">
        <v>426</v>
      </c>
      <c r="S25" s="1">
        <v>210</v>
      </c>
      <c r="T25" s="1">
        <v>25</v>
      </c>
      <c r="U25" s="12">
        <v>16</v>
      </c>
      <c r="V25" s="29" t="s">
        <v>121</v>
      </c>
    </row>
    <row r="26" spans="1:22" x14ac:dyDescent="0.25">
      <c r="A26" t="s">
        <v>30</v>
      </c>
      <c r="B26" s="10" t="s">
        <v>31</v>
      </c>
      <c r="C26" s="1">
        <v>700</v>
      </c>
      <c r="D26" s="2">
        <v>1.01</v>
      </c>
      <c r="E26" s="6">
        <v>204.61</v>
      </c>
      <c r="F26" s="2">
        <f t="shared" si="0"/>
        <v>0.89017341040462428</v>
      </c>
      <c r="G26" s="3">
        <v>0.67500000000000004</v>
      </c>
      <c r="H26" s="5">
        <v>144.06</v>
      </c>
      <c r="I26" s="2">
        <f t="shared" si="1"/>
        <v>0.66</v>
      </c>
      <c r="J26" s="2">
        <f t="shared" si="2"/>
        <v>0.21</v>
      </c>
      <c r="K26" s="2">
        <f t="shared" si="3"/>
        <v>0.10285714285714286</v>
      </c>
      <c r="L26" s="2">
        <f t="shared" si="4"/>
        <v>0.12857142857142856</v>
      </c>
      <c r="M26" s="3">
        <v>0.24</v>
      </c>
      <c r="N26" s="11">
        <f t="shared" si="5"/>
        <v>1.4285714285714285E-2</v>
      </c>
      <c r="O26" s="1">
        <v>10</v>
      </c>
      <c r="P26" s="1">
        <v>30</v>
      </c>
      <c r="Q26" s="1">
        <v>462</v>
      </c>
      <c r="R26" s="1">
        <v>519</v>
      </c>
      <c r="S26" s="1">
        <v>147</v>
      </c>
      <c r="T26" s="1">
        <v>72</v>
      </c>
      <c r="U26" s="12">
        <v>90</v>
      </c>
      <c r="V26" s="29" t="s">
        <v>78</v>
      </c>
    </row>
    <row r="27" spans="1:22" x14ac:dyDescent="0.25">
      <c r="A27" t="s">
        <v>58</v>
      </c>
      <c r="B27" s="10" t="s">
        <v>31</v>
      </c>
      <c r="C27" s="1">
        <v>649</v>
      </c>
      <c r="D27" s="2">
        <v>1</v>
      </c>
      <c r="E27" s="6">
        <v>211.88</v>
      </c>
      <c r="F27" s="2">
        <f t="shared" si="0"/>
        <v>1.0695652173913044</v>
      </c>
      <c r="G27" s="3">
        <v>0.72499999999999998</v>
      </c>
      <c r="H27" s="5">
        <v>140.72</v>
      </c>
      <c r="I27" s="2">
        <f t="shared" si="1"/>
        <v>0.75808936825885975</v>
      </c>
      <c r="J27" s="2">
        <f t="shared" si="2"/>
        <v>0.32511556240369799</v>
      </c>
      <c r="K27" s="2">
        <f t="shared" si="3"/>
        <v>0.10477657935285054</v>
      </c>
      <c r="L27" s="2">
        <f t="shared" si="4"/>
        <v>0.10631741140215717</v>
      </c>
      <c r="M27" s="3">
        <v>0.155</v>
      </c>
      <c r="N27" s="11">
        <f t="shared" si="5"/>
        <v>7.7041602465331279E-3</v>
      </c>
      <c r="O27" s="1">
        <v>5</v>
      </c>
      <c r="P27" s="1">
        <v>32</v>
      </c>
      <c r="Q27" s="1">
        <v>492</v>
      </c>
      <c r="R27" s="1">
        <v>460</v>
      </c>
      <c r="S27" s="1">
        <v>211</v>
      </c>
      <c r="T27" s="1">
        <v>68</v>
      </c>
      <c r="U27" s="12">
        <v>69</v>
      </c>
      <c r="V27" s="31" t="s">
        <v>51</v>
      </c>
    </row>
    <row r="28" spans="1:22" x14ac:dyDescent="0.25">
      <c r="A28" t="s">
        <v>98</v>
      </c>
      <c r="B28" s="10" t="s">
        <v>99</v>
      </c>
      <c r="C28" s="1">
        <v>542</v>
      </c>
      <c r="D28" s="2">
        <v>1</v>
      </c>
      <c r="E28" s="6">
        <v>209.63</v>
      </c>
      <c r="F28" s="2">
        <f t="shared" si="0"/>
        <v>1.0024999999999999</v>
      </c>
      <c r="G28" s="3">
        <v>0.69</v>
      </c>
      <c r="H28" s="5">
        <v>140.34</v>
      </c>
      <c r="I28" s="2">
        <f t="shared" si="1"/>
        <v>0.73985239852398521</v>
      </c>
      <c r="J28" s="2">
        <f t="shared" si="2"/>
        <v>0.25092250922509224</v>
      </c>
      <c r="K28" s="2">
        <f t="shared" si="3"/>
        <v>8.1180811808118078E-2</v>
      </c>
      <c r="L28" s="2">
        <f t="shared" si="4"/>
        <v>9.5940959409594101E-2</v>
      </c>
      <c r="M28" s="3">
        <v>0.26</v>
      </c>
      <c r="N28" s="11">
        <f t="shared" si="5"/>
        <v>9.2250922509225092E-3</v>
      </c>
      <c r="O28" s="1">
        <v>5</v>
      </c>
      <c r="P28" s="1">
        <v>27</v>
      </c>
      <c r="Q28" s="1">
        <v>401</v>
      </c>
      <c r="R28" s="1">
        <v>400</v>
      </c>
      <c r="S28" s="1">
        <v>136</v>
      </c>
      <c r="T28" s="1">
        <v>44</v>
      </c>
      <c r="U28" s="12">
        <v>52</v>
      </c>
      <c r="V28" s="29" t="s">
        <v>125</v>
      </c>
    </row>
    <row r="29" spans="1:22" x14ac:dyDescent="0.25">
      <c r="A29" t="s">
        <v>54</v>
      </c>
      <c r="B29" s="10" t="s">
        <v>36</v>
      </c>
      <c r="C29" s="1">
        <v>757</v>
      </c>
      <c r="D29" s="2">
        <v>1</v>
      </c>
      <c r="E29" s="6">
        <v>208.08</v>
      </c>
      <c r="F29" s="2">
        <f t="shared" si="0"/>
        <v>1.0483271375464684</v>
      </c>
      <c r="G29" s="3">
        <v>0.73</v>
      </c>
      <c r="H29" s="5">
        <v>138.47</v>
      </c>
      <c r="I29" s="2">
        <f t="shared" si="1"/>
        <v>0.74504623513870538</v>
      </c>
      <c r="J29" s="2">
        <f t="shared" si="2"/>
        <v>0.24834874504623514</v>
      </c>
      <c r="K29" s="2">
        <f t="shared" si="3"/>
        <v>0.10435931307793923</v>
      </c>
      <c r="L29" s="2">
        <f t="shared" si="4"/>
        <v>9.1149273447820339E-2</v>
      </c>
      <c r="M29" s="3">
        <v>0.30499999999999999</v>
      </c>
      <c r="N29" s="11">
        <f t="shared" si="5"/>
        <v>6.6050198150594455E-3</v>
      </c>
      <c r="O29" s="1">
        <v>5</v>
      </c>
      <c r="P29" s="1">
        <v>29</v>
      </c>
      <c r="Q29" s="1">
        <v>564</v>
      </c>
      <c r="R29" s="1">
        <v>538</v>
      </c>
      <c r="S29" s="1">
        <v>188</v>
      </c>
      <c r="T29" s="1">
        <v>79</v>
      </c>
      <c r="U29" s="12">
        <v>69</v>
      </c>
      <c r="V29" s="31" t="s">
        <v>126</v>
      </c>
    </row>
    <row r="30" spans="1:22" x14ac:dyDescent="0.25">
      <c r="A30" t="s">
        <v>100</v>
      </c>
      <c r="B30" s="10" t="s">
        <v>99</v>
      </c>
      <c r="C30" s="1">
        <v>484</v>
      </c>
      <c r="D30" s="2">
        <v>0.98</v>
      </c>
      <c r="E30" s="6">
        <v>229.54</v>
      </c>
      <c r="F30" s="2">
        <f t="shared" si="0"/>
        <v>1.0026954177897573</v>
      </c>
      <c r="G30" s="3">
        <v>0.65</v>
      </c>
      <c r="H30" s="5">
        <v>147.07</v>
      </c>
      <c r="I30" s="2">
        <f t="shared" si="1"/>
        <v>0.76859504132231404</v>
      </c>
      <c r="J30" s="2">
        <f t="shared" si="2"/>
        <v>0.1962809917355372</v>
      </c>
      <c r="K30" s="2">
        <f t="shared" si="3"/>
        <v>0.1756198347107438</v>
      </c>
      <c r="L30" s="2">
        <f t="shared" si="4"/>
        <v>0.18801652892561985</v>
      </c>
      <c r="M30" s="3">
        <v>0.16</v>
      </c>
      <c r="N30" s="11">
        <f t="shared" si="5"/>
        <v>6.1983471074380167E-3</v>
      </c>
      <c r="O30" s="1">
        <v>3</v>
      </c>
      <c r="P30" s="1">
        <v>28</v>
      </c>
      <c r="Q30" s="1">
        <v>372</v>
      </c>
      <c r="R30" s="1">
        <v>371</v>
      </c>
      <c r="S30" s="1">
        <v>95</v>
      </c>
      <c r="T30" s="1">
        <v>85</v>
      </c>
      <c r="U30" s="12">
        <v>91</v>
      </c>
      <c r="V30" s="29" t="s">
        <v>59</v>
      </c>
    </row>
    <row r="31" spans="1:22" x14ac:dyDescent="0.25">
      <c r="A31" t="s">
        <v>52</v>
      </c>
      <c r="B31" s="10" t="s">
        <v>41</v>
      </c>
      <c r="C31" s="1">
        <v>766</v>
      </c>
      <c r="D31" s="2">
        <v>0.98</v>
      </c>
      <c r="E31" s="6">
        <v>225.7</v>
      </c>
      <c r="F31" s="2">
        <f t="shared" si="0"/>
        <v>0.99660441426146007</v>
      </c>
      <c r="G31" s="3">
        <v>0.69500000000000006</v>
      </c>
      <c r="H31" s="5">
        <v>145.97999999999999</v>
      </c>
      <c r="I31" s="2">
        <f t="shared" si="1"/>
        <v>0.76631853785900783</v>
      </c>
      <c r="J31" s="2">
        <f t="shared" si="2"/>
        <v>0.21540469973890339</v>
      </c>
      <c r="K31" s="2">
        <f t="shared" si="3"/>
        <v>0.14490861618798956</v>
      </c>
      <c r="L31" s="2">
        <f t="shared" si="4"/>
        <v>0.13838120104438642</v>
      </c>
      <c r="M31" s="3">
        <v>0.25</v>
      </c>
      <c r="N31" s="11">
        <f t="shared" si="5"/>
        <v>2.6109660574412533E-3</v>
      </c>
      <c r="O31" s="1">
        <v>2</v>
      </c>
      <c r="P31" s="1">
        <v>32</v>
      </c>
      <c r="Q31" s="1">
        <v>587</v>
      </c>
      <c r="R31" s="1">
        <v>589</v>
      </c>
      <c r="S31" s="1">
        <v>165</v>
      </c>
      <c r="T31" s="1">
        <v>111</v>
      </c>
      <c r="U31" s="12">
        <v>106</v>
      </c>
      <c r="V31" s="29" t="s">
        <v>124</v>
      </c>
    </row>
    <row r="32" spans="1:22" x14ac:dyDescent="0.25">
      <c r="A32" t="s">
        <v>60</v>
      </c>
      <c r="B32" s="10" t="s">
        <v>36</v>
      </c>
      <c r="C32" s="1">
        <v>716</v>
      </c>
      <c r="D32" s="2">
        <v>0.97</v>
      </c>
      <c r="E32" s="6">
        <v>183.65</v>
      </c>
      <c r="F32" s="2">
        <f t="shared" si="0"/>
        <v>1.0086767895878526</v>
      </c>
      <c r="G32" s="3">
        <v>0.72499999999999998</v>
      </c>
      <c r="H32" s="5">
        <v>123.86</v>
      </c>
      <c r="I32" s="2">
        <f t="shared" si="1"/>
        <v>0.6494413407821229</v>
      </c>
      <c r="J32" s="2">
        <f t="shared" si="2"/>
        <v>0.21927374301675978</v>
      </c>
      <c r="K32" s="2">
        <f t="shared" si="3"/>
        <v>5.8659217877094973E-2</v>
      </c>
      <c r="L32" s="2">
        <f t="shared" si="4"/>
        <v>5.7262569832402237E-2</v>
      </c>
      <c r="M32" s="3">
        <v>0.23499999999999999</v>
      </c>
      <c r="N32" s="11">
        <f t="shared" si="5"/>
        <v>1.5363128491620111E-2</v>
      </c>
      <c r="O32" s="1">
        <v>11</v>
      </c>
      <c r="P32" s="1">
        <v>26</v>
      </c>
      <c r="Q32" s="1">
        <v>465</v>
      </c>
      <c r="R32" s="1">
        <v>461</v>
      </c>
      <c r="S32" s="1">
        <v>157</v>
      </c>
      <c r="T32" s="1">
        <v>42</v>
      </c>
      <c r="U32" s="12">
        <v>41</v>
      </c>
      <c r="V32" s="31" t="s">
        <v>123</v>
      </c>
    </row>
    <row r="33" spans="1:22" x14ac:dyDescent="0.25">
      <c r="A33" t="s">
        <v>74</v>
      </c>
      <c r="B33" s="10" t="s">
        <v>31</v>
      </c>
      <c r="C33" s="1">
        <v>650</v>
      </c>
      <c r="D33" s="2">
        <v>0.96</v>
      </c>
      <c r="E33" s="6">
        <v>232.94</v>
      </c>
      <c r="F33" s="2">
        <f t="shared" si="0"/>
        <v>1.1273885350318471</v>
      </c>
      <c r="G33" s="3">
        <v>0.73</v>
      </c>
      <c r="H33" s="5">
        <v>137.06</v>
      </c>
      <c r="I33" s="2">
        <f t="shared" si="1"/>
        <v>0.81692307692307697</v>
      </c>
      <c r="J33" s="2">
        <f t="shared" si="2"/>
        <v>0.2630769230769231</v>
      </c>
      <c r="K33" s="2">
        <f t="shared" si="3"/>
        <v>0.15692307692307692</v>
      </c>
      <c r="L33" s="2">
        <f t="shared" si="4"/>
        <v>0.12</v>
      </c>
      <c r="M33" s="3">
        <v>0.19500000000000001</v>
      </c>
      <c r="N33" s="11">
        <f t="shared" si="5"/>
        <v>9.2307692307692316E-3</v>
      </c>
      <c r="O33" s="1">
        <v>6</v>
      </c>
      <c r="P33" s="1">
        <v>32</v>
      </c>
      <c r="Q33" s="1">
        <v>531</v>
      </c>
      <c r="R33" s="1">
        <v>471</v>
      </c>
      <c r="S33" s="1">
        <v>171</v>
      </c>
      <c r="T33" s="1">
        <v>102</v>
      </c>
      <c r="U33" s="12">
        <v>78</v>
      </c>
      <c r="V33" s="31" t="s">
        <v>76</v>
      </c>
    </row>
    <row r="34" spans="1:22" x14ac:dyDescent="0.25">
      <c r="A34" t="s">
        <v>56</v>
      </c>
      <c r="B34" s="10" t="s">
        <v>23</v>
      </c>
      <c r="C34" s="1">
        <v>647</v>
      </c>
      <c r="D34" s="2">
        <v>0.96</v>
      </c>
      <c r="E34" s="6">
        <v>209.16</v>
      </c>
      <c r="F34" s="2">
        <f t="shared" ref="F34:F62" si="6">Q34/R34</f>
        <v>1.0063157894736843</v>
      </c>
      <c r="G34" s="3">
        <v>0.67999999999999994</v>
      </c>
      <c r="H34" s="5">
        <v>135.06</v>
      </c>
      <c r="I34" s="2">
        <f t="shared" ref="I34:I62" si="7">Q34/C34</f>
        <v>0.73879443585780524</v>
      </c>
      <c r="J34" s="2">
        <f t="shared" ref="J34:J62" si="8">S34/C34</f>
        <v>0.18701700154559506</v>
      </c>
      <c r="K34" s="2">
        <f t="shared" ref="K34:K62" si="9">T34/C34</f>
        <v>0.15301391035548687</v>
      </c>
      <c r="L34" s="2">
        <f t="shared" ref="L34:L62" si="10">U34/C34</f>
        <v>0.18392581143740341</v>
      </c>
      <c r="M34" s="3">
        <v>0.31000000000000011</v>
      </c>
      <c r="N34" s="11">
        <f t="shared" ref="N34:N65" si="11">O34/C34</f>
        <v>1.5455950540958269E-3</v>
      </c>
      <c r="O34" s="1">
        <v>1</v>
      </c>
      <c r="P34" s="1">
        <v>26</v>
      </c>
      <c r="Q34" s="1">
        <v>478</v>
      </c>
      <c r="R34" s="1">
        <v>475</v>
      </c>
      <c r="S34" s="1">
        <v>121</v>
      </c>
      <c r="T34" s="1">
        <v>99</v>
      </c>
      <c r="U34" s="12">
        <v>119</v>
      </c>
      <c r="V34" s="29" t="s">
        <v>124</v>
      </c>
    </row>
    <row r="35" spans="1:22" x14ac:dyDescent="0.25">
      <c r="A35" t="s">
        <v>67</v>
      </c>
      <c r="B35" s="10" t="s">
        <v>36</v>
      </c>
      <c r="C35" s="1">
        <v>716</v>
      </c>
      <c r="D35" s="2">
        <v>0.96</v>
      </c>
      <c r="E35" s="6">
        <v>197.08</v>
      </c>
      <c r="F35" s="2">
        <f t="shared" si="6"/>
        <v>0.99207920792079207</v>
      </c>
      <c r="G35" s="3">
        <v>0.7</v>
      </c>
      <c r="H35" s="5">
        <v>133.53</v>
      </c>
      <c r="I35" s="2">
        <f t="shared" si="7"/>
        <v>0.69972067039106145</v>
      </c>
      <c r="J35" s="2">
        <f t="shared" si="8"/>
        <v>0.30586592178770949</v>
      </c>
      <c r="K35" s="2">
        <f t="shared" si="9"/>
        <v>8.7988826815642462E-2</v>
      </c>
      <c r="L35" s="2">
        <f t="shared" si="10"/>
        <v>9.7765363128491614E-2</v>
      </c>
      <c r="M35" s="3">
        <v>0.16500000000000001</v>
      </c>
      <c r="N35" s="11">
        <f t="shared" si="11"/>
        <v>5.5865921787709499E-3</v>
      </c>
      <c r="O35" s="1">
        <v>4</v>
      </c>
      <c r="P35" s="1">
        <v>28</v>
      </c>
      <c r="Q35" s="1">
        <v>501</v>
      </c>
      <c r="R35" s="1">
        <v>505</v>
      </c>
      <c r="S35" s="1">
        <v>219</v>
      </c>
      <c r="T35" s="1">
        <v>63</v>
      </c>
      <c r="U35" s="12">
        <v>70</v>
      </c>
      <c r="V35" s="31" t="s">
        <v>127</v>
      </c>
    </row>
    <row r="36" spans="1:22" x14ac:dyDescent="0.25">
      <c r="A36" t="s">
        <v>72</v>
      </c>
      <c r="B36" s="10" t="s">
        <v>36</v>
      </c>
      <c r="C36" s="1">
        <v>716</v>
      </c>
      <c r="D36" s="2">
        <v>0.96</v>
      </c>
      <c r="E36" s="6">
        <v>184.63</v>
      </c>
      <c r="F36" s="2">
        <f t="shared" si="6"/>
        <v>1.0220440881763526</v>
      </c>
      <c r="G36" s="3">
        <v>0.73499999999999999</v>
      </c>
      <c r="H36" s="5">
        <v>123.88</v>
      </c>
      <c r="I36" s="2">
        <f t="shared" si="7"/>
        <v>0.71229050279329609</v>
      </c>
      <c r="J36" s="2">
        <f t="shared" si="8"/>
        <v>0.31564245810055863</v>
      </c>
      <c r="K36" s="2">
        <f t="shared" si="9"/>
        <v>8.6592178770949726E-2</v>
      </c>
      <c r="L36" s="2">
        <f t="shared" si="10"/>
        <v>7.9608938547486033E-2</v>
      </c>
      <c r="M36" s="3">
        <v>0.28000000000000003</v>
      </c>
      <c r="N36" s="11">
        <f t="shared" si="11"/>
        <v>1.2569832402234637E-2</v>
      </c>
      <c r="O36" s="1">
        <v>9</v>
      </c>
      <c r="P36" s="1">
        <v>26</v>
      </c>
      <c r="Q36" s="1">
        <v>510</v>
      </c>
      <c r="R36" s="1">
        <v>499</v>
      </c>
      <c r="S36" s="1">
        <v>226</v>
      </c>
      <c r="T36" s="1">
        <v>62</v>
      </c>
      <c r="U36" s="12">
        <v>57</v>
      </c>
      <c r="V36" s="31" t="s">
        <v>64</v>
      </c>
    </row>
    <row r="37" spans="1:22" x14ac:dyDescent="0.25">
      <c r="A37" t="s">
        <v>48</v>
      </c>
      <c r="B37" s="10" t="s">
        <v>46</v>
      </c>
      <c r="C37" s="1">
        <v>532</v>
      </c>
      <c r="D37" s="2">
        <v>0.94</v>
      </c>
      <c r="E37" s="6">
        <v>205.14</v>
      </c>
      <c r="F37" s="2">
        <f t="shared" si="6"/>
        <v>0.7990196078431373</v>
      </c>
      <c r="G37" s="3">
        <v>0.7</v>
      </c>
      <c r="H37" s="5">
        <v>137.82</v>
      </c>
      <c r="I37" s="2">
        <f t="shared" si="7"/>
        <v>0.61278195488721809</v>
      </c>
      <c r="J37" s="2">
        <f t="shared" si="8"/>
        <v>0.21804511278195488</v>
      </c>
      <c r="K37" s="2">
        <f t="shared" si="9"/>
        <v>7.3308270676691725E-2</v>
      </c>
      <c r="L37" s="2">
        <f t="shared" si="10"/>
        <v>0.12781954887218044</v>
      </c>
      <c r="M37" s="3">
        <v>0.15</v>
      </c>
      <c r="N37" s="11">
        <f t="shared" si="11"/>
        <v>1.1278195488721804E-2</v>
      </c>
      <c r="O37" s="1">
        <v>6</v>
      </c>
      <c r="P37" s="1">
        <v>26</v>
      </c>
      <c r="Q37" s="1">
        <v>326</v>
      </c>
      <c r="R37" s="1">
        <v>408</v>
      </c>
      <c r="S37" s="1">
        <v>116</v>
      </c>
      <c r="T37" s="1">
        <v>39</v>
      </c>
      <c r="U37" s="12">
        <v>68</v>
      </c>
      <c r="V37" s="29" t="s">
        <v>27</v>
      </c>
    </row>
    <row r="38" spans="1:22" x14ac:dyDescent="0.25">
      <c r="A38" t="s">
        <v>107</v>
      </c>
      <c r="B38" s="10" t="s">
        <v>105</v>
      </c>
      <c r="C38" s="1">
        <v>525</v>
      </c>
      <c r="D38" s="2">
        <v>0.94</v>
      </c>
      <c r="E38" s="6">
        <v>193.68</v>
      </c>
      <c r="F38" s="2">
        <f t="shared" si="6"/>
        <v>0.95854922279792742</v>
      </c>
      <c r="G38" s="3">
        <v>0.7</v>
      </c>
      <c r="H38" s="5">
        <v>128.69999999999999</v>
      </c>
      <c r="I38" s="2">
        <f t="shared" si="7"/>
        <v>0.70476190476190481</v>
      </c>
      <c r="J38" s="2">
        <f t="shared" si="8"/>
        <v>0.19047619047619047</v>
      </c>
      <c r="K38" s="2">
        <f t="shared" si="9"/>
        <v>0.10095238095238095</v>
      </c>
      <c r="L38" s="2">
        <f t="shared" si="10"/>
        <v>0.1180952380952381</v>
      </c>
      <c r="M38" s="3">
        <v>0.26</v>
      </c>
      <c r="N38" s="11">
        <f t="shared" si="11"/>
        <v>3.8095238095238095E-3</v>
      </c>
      <c r="O38" s="1">
        <v>2</v>
      </c>
      <c r="P38" s="1">
        <v>28</v>
      </c>
      <c r="Q38" s="1">
        <v>370</v>
      </c>
      <c r="R38" s="1">
        <v>386</v>
      </c>
      <c r="S38" s="1">
        <v>100</v>
      </c>
      <c r="T38" s="1">
        <v>53</v>
      </c>
      <c r="U38" s="12">
        <v>62</v>
      </c>
      <c r="V38" s="30" t="s">
        <v>24</v>
      </c>
    </row>
    <row r="39" spans="1:22" x14ac:dyDescent="0.25">
      <c r="A39" t="s">
        <v>62</v>
      </c>
      <c r="B39" s="10" t="s">
        <v>23</v>
      </c>
      <c r="C39" s="1">
        <v>786</v>
      </c>
      <c r="D39" s="2">
        <v>0.93</v>
      </c>
      <c r="E39" s="6">
        <v>159.37</v>
      </c>
      <c r="F39" s="2">
        <f t="shared" si="6"/>
        <v>0.88047808764940239</v>
      </c>
      <c r="G39" s="3">
        <v>0.75</v>
      </c>
      <c r="H39" s="5">
        <v>105.28</v>
      </c>
      <c r="I39" s="2">
        <f t="shared" si="7"/>
        <v>0.56234096692111957</v>
      </c>
      <c r="J39" s="2">
        <f t="shared" si="8"/>
        <v>0.37022900763358779</v>
      </c>
      <c r="K39" s="2">
        <f t="shared" si="9"/>
        <v>4.7073791348600506E-2</v>
      </c>
      <c r="L39" s="2">
        <f t="shared" si="10"/>
        <v>5.9796437659033079E-2</v>
      </c>
      <c r="M39" s="3">
        <v>0.17</v>
      </c>
      <c r="N39" s="11">
        <f t="shared" si="11"/>
        <v>1.3994910941475827E-2</v>
      </c>
      <c r="O39" s="1">
        <v>11</v>
      </c>
      <c r="P39" s="1">
        <v>23</v>
      </c>
      <c r="Q39" s="1">
        <v>442</v>
      </c>
      <c r="R39" s="1">
        <v>502</v>
      </c>
      <c r="S39" s="1">
        <v>291</v>
      </c>
      <c r="T39" s="1">
        <v>37</v>
      </c>
      <c r="U39" s="12">
        <v>47</v>
      </c>
      <c r="V39" s="31" t="s">
        <v>123</v>
      </c>
    </row>
    <row r="40" spans="1:22" x14ac:dyDescent="0.25">
      <c r="A40" t="s">
        <v>89</v>
      </c>
      <c r="B40" s="10" t="s">
        <v>85</v>
      </c>
      <c r="C40" s="1">
        <v>556</v>
      </c>
      <c r="D40" s="2">
        <v>0.92</v>
      </c>
      <c r="E40" s="6">
        <v>182.57</v>
      </c>
      <c r="F40" s="2">
        <f t="shared" si="6"/>
        <v>0.85929648241206025</v>
      </c>
      <c r="G40" s="3">
        <v>0.71</v>
      </c>
      <c r="H40" s="5">
        <v>123.24</v>
      </c>
      <c r="I40" s="2">
        <f t="shared" si="7"/>
        <v>0.6151079136690647</v>
      </c>
      <c r="J40" s="2">
        <f t="shared" si="8"/>
        <v>0.3039568345323741</v>
      </c>
      <c r="K40" s="2">
        <f t="shared" si="9"/>
        <v>7.1942446043165464E-2</v>
      </c>
      <c r="L40" s="2">
        <f t="shared" si="10"/>
        <v>6.1151079136690649E-2</v>
      </c>
      <c r="M40" s="3">
        <v>0.32</v>
      </c>
      <c r="N40" s="11">
        <f t="shared" si="11"/>
        <v>1.4388489208633094E-2</v>
      </c>
      <c r="O40" s="1">
        <v>8</v>
      </c>
      <c r="P40" s="1">
        <v>19</v>
      </c>
      <c r="Q40" s="1">
        <v>342</v>
      </c>
      <c r="R40" s="1">
        <v>398</v>
      </c>
      <c r="S40" s="1">
        <v>169</v>
      </c>
      <c r="T40" s="1">
        <v>40</v>
      </c>
      <c r="U40" s="12">
        <v>34</v>
      </c>
      <c r="V40" s="30" t="s">
        <v>24</v>
      </c>
    </row>
    <row r="41" spans="1:22" x14ac:dyDescent="0.25">
      <c r="A41" t="s">
        <v>63</v>
      </c>
      <c r="B41" s="10" t="s">
        <v>23</v>
      </c>
      <c r="C41" s="1">
        <v>786</v>
      </c>
      <c r="D41" s="2">
        <v>0.91</v>
      </c>
      <c r="E41" s="6">
        <v>171.31</v>
      </c>
      <c r="F41" s="2">
        <f t="shared" si="6"/>
        <v>0.88059701492537312</v>
      </c>
      <c r="G41" s="3">
        <v>0.71</v>
      </c>
      <c r="H41" s="5">
        <v>112.31</v>
      </c>
      <c r="I41" s="2">
        <f t="shared" si="7"/>
        <v>0.60050890585241734</v>
      </c>
      <c r="J41" s="2">
        <f t="shared" si="8"/>
        <v>0.23155216284987276</v>
      </c>
      <c r="K41" s="2">
        <f t="shared" si="9"/>
        <v>6.6157760814249358E-2</v>
      </c>
      <c r="L41" s="2">
        <f t="shared" si="10"/>
        <v>6.3613231552162849E-2</v>
      </c>
      <c r="M41" s="3">
        <v>0.13</v>
      </c>
      <c r="N41" s="11">
        <f t="shared" si="11"/>
        <v>5.0890585241730284E-3</v>
      </c>
      <c r="O41" s="1">
        <v>4</v>
      </c>
      <c r="P41" s="1">
        <v>23</v>
      </c>
      <c r="Q41" s="1">
        <v>472</v>
      </c>
      <c r="R41" s="1">
        <v>536</v>
      </c>
      <c r="S41" s="1">
        <v>182</v>
      </c>
      <c r="T41" s="1">
        <v>52</v>
      </c>
      <c r="U41" s="12">
        <v>50</v>
      </c>
      <c r="V41" s="30" t="s">
        <v>24</v>
      </c>
    </row>
    <row r="42" spans="1:22" x14ac:dyDescent="0.25">
      <c r="A42" t="s">
        <v>69</v>
      </c>
      <c r="B42" s="10" t="s">
        <v>41</v>
      </c>
      <c r="C42" s="1">
        <v>706</v>
      </c>
      <c r="D42" s="2">
        <v>0.89</v>
      </c>
      <c r="E42" s="6">
        <v>172.05</v>
      </c>
      <c r="F42" s="2">
        <f t="shared" si="6"/>
        <v>0.8161616161616162</v>
      </c>
      <c r="G42" s="3">
        <v>0.70499999999999996</v>
      </c>
      <c r="H42" s="5">
        <v>116.86</v>
      </c>
      <c r="I42" s="2">
        <f t="shared" si="7"/>
        <v>0.57223796033994334</v>
      </c>
      <c r="J42" s="2">
        <f t="shared" si="8"/>
        <v>0.35410764872521244</v>
      </c>
      <c r="K42" s="2">
        <f t="shared" si="9"/>
        <v>4.5325779036827198E-2</v>
      </c>
      <c r="L42" s="2">
        <f t="shared" si="10"/>
        <v>5.6657223796033995E-2</v>
      </c>
      <c r="M42" s="3">
        <v>0.15</v>
      </c>
      <c r="N42" s="11">
        <f t="shared" si="11"/>
        <v>8.4985835694051E-3</v>
      </c>
      <c r="O42" s="1">
        <v>6</v>
      </c>
      <c r="P42" s="1">
        <v>23</v>
      </c>
      <c r="Q42" s="1">
        <v>404</v>
      </c>
      <c r="R42" s="1">
        <v>495</v>
      </c>
      <c r="S42" s="1">
        <v>250</v>
      </c>
      <c r="T42" s="1">
        <v>32</v>
      </c>
      <c r="U42" s="12">
        <v>40</v>
      </c>
      <c r="V42" s="31" t="s">
        <v>128</v>
      </c>
    </row>
    <row r="43" spans="1:22" x14ac:dyDescent="0.25">
      <c r="A43" t="s">
        <v>112</v>
      </c>
      <c r="B43" s="10" t="s">
        <v>83</v>
      </c>
      <c r="C43" s="1">
        <v>460</v>
      </c>
      <c r="D43" s="2">
        <v>0.87</v>
      </c>
      <c r="E43" s="6">
        <v>182.8</v>
      </c>
      <c r="F43" s="2">
        <f t="shared" si="6"/>
        <v>0.81415929203539827</v>
      </c>
      <c r="G43" s="3">
        <v>0.67</v>
      </c>
      <c r="H43" s="5">
        <v>120.94</v>
      </c>
      <c r="I43" s="2">
        <f t="shared" si="7"/>
        <v>0.6</v>
      </c>
      <c r="J43" s="2">
        <f t="shared" si="8"/>
        <v>0.26521739130434785</v>
      </c>
      <c r="K43" s="2">
        <f t="shared" si="9"/>
        <v>8.0434782608695646E-2</v>
      </c>
      <c r="L43" s="2">
        <f t="shared" si="10"/>
        <v>0.1108695652173913</v>
      </c>
      <c r="M43" s="3">
        <v>0.2</v>
      </c>
      <c r="N43" s="11">
        <f t="shared" si="11"/>
        <v>4.3478260869565218E-3</v>
      </c>
      <c r="O43" s="1">
        <v>2</v>
      </c>
      <c r="P43" s="1">
        <v>25</v>
      </c>
      <c r="Q43" s="1">
        <v>276</v>
      </c>
      <c r="R43" s="1">
        <v>339</v>
      </c>
      <c r="S43" s="1">
        <v>122</v>
      </c>
      <c r="T43" s="1">
        <v>37</v>
      </c>
      <c r="U43" s="12">
        <v>51</v>
      </c>
      <c r="V43" s="29" t="s">
        <v>124</v>
      </c>
    </row>
    <row r="44" spans="1:22" x14ac:dyDescent="0.25">
      <c r="A44" t="s">
        <v>88</v>
      </c>
      <c r="B44" s="10" t="s">
        <v>85</v>
      </c>
      <c r="C44" s="1">
        <v>470</v>
      </c>
      <c r="D44" s="2">
        <v>0.87</v>
      </c>
      <c r="E44" s="6">
        <v>178.95</v>
      </c>
      <c r="F44" s="2">
        <f t="shared" si="6"/>
        <v>0.84615384615384615</v>
      </c>
      <c r="G44" s="3">
        <v>0.66</v>
      </c>
      <c r="H44" s="5">
        <v>117.02</v>
      </c>
      <c r="I44" s="2">
        <f t="shared" si="7"/>
        <v>0.60851063829787233</v>
      </c>
      <c r="J44" s="2">
        <f t="shared" si="8"/>
        <v>0.22340425531914893</v>
      </c>
      <c r="K44" s="2">
        <f t="shared" si="9"/>
        <v>8.085106382978724E-2</v>
      </c>
      <c r="L44" s="2">
        <f t="shared" si="10"/>
        <v>7.4468085106382975E-2</v>
      </c>
      <c r="M44" s="3">
        <v>0.23</v>
      </c>
      <c r="N44" s="11">
        <f t="shared" si="11"/>
        <v>0</v>
      </c>
      <c r="O44" s="1">
        <v>0</v>
      </c>
      <c r="P44" s="1">
        <v>24</v>
      </c>
      <c r="Q44" s="1">
        <v>286</v>
      </c>
      <c r="R44" s="1">
        <v>338</v>
      </c>
      <c r="S44" s="1">
        <v>105</v>
      </c>
      <c r="T44" s="1">
        <v>38</v>
      </c>
      <c r="U44" s="12">
        <v>35</v>
      </c>
      <c r="V44" s="29" t="s">
        <v>124</v>
      </c>
    </row>
    <row r="45" spans="1:22" x14ac:dyDescent="0.25">
      <c r="A45" t="s">
        <v>81</v>
      </c>
      <c r="B45" s="10" t="s">
        <v>46</v>
      </c>
      <c r="C45" s="1">
        <v>545</v>
      </c>
      <c r="D45" s="2">
        <v>0.85</v>
      </c>
      <c r="E45" s="6">
        <v>198.6</v>
      </c>
      <c r="F45" s="2">
        <f t="shared" si="6"/>
        <v>1.0144927536231885</v>
      </c>
      <c r="G45" s="3">
        <v>0.6399999999999999</v>
      </c>
      <c r="H45" s="5">
        <v>125.94</v>
      </c>
      <c r="I45" s="2">
        <f t="shared" si="7"/>
        <v>0.77064220183486243</v>
      </c>
      <c r="J45" s="2">
        <f t="shared" si="8"/>
        <v>0.15963302752293579</v>
      </c>
      <c r="K45" s="2">
        <f t="shared" si="9"/>
        <v>0.11559633027522936</v>
      </c>
      <c r="L45" s="2">
        <f t="shared" si="10"/>
        <v>0.13394495412844037</v>
      </c>
      <c r="M45" s="3">
        <v>0.19500000000000001</v>
      </c>
      <c r="N45" s="11">
        <f t="shared" si="11"/>
        <v>7.3394495412844041E-3</v>
      </c>
      <c r="O45" s="1">
        <v>4</v>
      </c>
      <c r="P45" s="1">
        <v>30</v>
      </c>
      <c r="Q45" s="1">
        <v>420</v>
      </c>
      <c r="R45" s="1">
        <v>414</v>
      </c>
      <c r="S45" s="1">
        <v>87</v>
      </c>
      <c r="T45" s="1">
        <v>63</v>
      </c>
      <c r="U45" s="12">
        <v>73</v>
      </c>
      <c r="V45" s="31" t="s">
        <v>53</v>
      </c>
    </row>
    <row r="46" spans="1:22" x14ac:dyDescent="0.25">
      <c r="A46" t="s">
        <v>117</v>
      </c>
      <c r="B46" s="10" t="s">
        <v>115</v>
      </c>
      <c r="C46" s="1">
        <v>416</v>
      </c>
      <c r="D46" s="2">
        <v>0.85</v>
      </c>
      <c r="E46" s="6">
        <v>180.86</v>
      </c>
      <c r="F46" s="2">
        <f t="shared" si="6"/>
        <v>0.78549848942598188</v>
      </c>
      <c r="G46" s="3">
        <v>0.7</v>
      </c>
      <c r="H46" s="5">
        <v>115.43</v>
      </c>
      <c r="I46" s="2">
        <f t="shared" si="7"/>
        <v>0.625</v>
      </c>
      <c r="J46" s="2">
        <f t="shared" si="8"/>
        <v>0.34134615384615385</v>
      </c>
      <c r="K46" s="2">
        <f t="shared" si="9"/>
        <v>8.4134615384615391E-2</v>
      </c>
      <c r="L46" s="2">
        <f t="shared" si="10"/>
        <v>0.11057692307692307</v>
      </c>
      <c r="M46" s="3">
        <v>0.26</v>
      </c>
      <c r="N46" s="11">
        <f t="shared" si="11"/>
        <v>9.6153846153846159E-3</v>
      </c>
      <c r="O46" s="1">
        <v>4</v>
      </c>
      <c r="P46" s="1">
        <v>23</v>
      </c>
      <c r="Q46" s="1">
        <v>260</v>
      </c>
      <c r="R46" s="1">
        <v>331</v>
      </c>
      <c r="S46" s="1">
        <v>142</v>
      </c>
      <c r="T46" s="1">
        <v>35</v>
      </c>
      <c r="U46" s="12">
        <v>46</v>
      </c>
      <c r="V46" s="29" t="s">
        <v>124</v>
      </c>
    </row>
    <row r="47" spans="1:22" x14ac:dyDescent="0.25">
      <c r="A47" t="s">
        <v>75</v>
      </c>
      <c r="B47" s="10" t="s">
        <v>41</v>
      </c>
      <c r="C47" s="1">
        <v>617</v>
      </c>
      <c r="D47" s="2">
        <v>0.83</v>
      </c>
      <c r="E47" s="6">
        <v>164.06</v>
      </c>
      <c r="F47" s="2">
        <f t="shared" si="6"/>
        <v>0.81858407079646023</v>
      </c>
      <c r="G47" s="3">
        <v>0.68500000000000005</v>
      </c>
      <c r="H47" s="5">
        <v>104.56</v>
      </c>
      <c r="I47" s="2">
        <f t="shared" si="7"/>
        <v>0.59967585089141007</v>
      </c>
      <c r="J47" s="2">
        <f t="shared" si="8"/>
        <v>0.30632090761750408</v>
      </c>
      <c r="K47" s="2">
        <f t="shared" si="9"/>
        <v>6.4829821717990274E-2</v>
      </c>
      <c r="L47" s="2">
        <f t="shared" si="10"/>
        <v>9.2382495948136148E-2</v>
      </c>
      <c r="M47" s="3">
        <v>0.23</v>
      </c>
      <c r="N47" s="11">
        <f t="shared" si="11"/>
        <v>1.9448946515397084E-2</v>
      </c>
      <c r="O47" s="1">
        <v>12</v>
      </c>
      <c r="P47" s="1">
        <v>21</v>
      </c>
      <c r="Q47" s="1">
        <v>370</v>
      </c>
      <c r="R47" s="1">
        <v>452</v>
      </c>
      <c r="S47" s="1">
        <v>189</v>
      </c>
      <c r="T47" s="1">
        <v>40</v>
      </c>
      <c r="U47" s="12">
        <v>57</v>
      </c>
      <c r="V47" s="31" t="s">
        <v>42</v>
      </c>
    </row>
    <row r="48" spans="1:22" x14ac:dyDescent="0.25">
      <c r="A48" t="s">
        <v>118</v>
      </c>
      <c r="B48" s="10" t="s">
        <v>115</v>
      </c>
      <c r="C48" s="1">
        <v>508</v>
      </c>
      <c r="D48" s="2">
        <v>0.82</v>
      </c>
      <c r="E48" s="6">
        <v>181.53</v>
      </c>
      <c r="F48" s="2">
        <f t="shared" si="6"/>
        <v>0.78426395939086291</v>
      </c>
      <c r="G48" s="3">
        <v>0.64</v>
      </c>
      <c r="H48" s="5">
        <v>118.9</v>
      </c>
      <c r="I48" s="2">
        <f t="shared" si="7"/>
        <v>0.6082677165354331</v>
      </c>
      <c r="J48" s="2">
        <f t="shared" si="8"/>
        <v>0.23425196850393701</v>
      </c>
      <c r="K48" s="2">
        <f t="shared" si="9"/>
        <v>0.11811023622047244</v>
      </c>
      <c r="L48" s="2">
        <f t="shared" si="10"/>
        <v>0.16338582677165353</v>
      </c>
      <c r="M48" s="3">
        <v>0.21</v>
      </c>
      <c r="N48" s="11">
        <f t="shared" si="11"/>
        <v>1.968503937007874E-3</v>
      </c>
      <c r="O48" s="1">
        <v>1</v>
      </c>
      <c r="P48" s="1">
        <v>22</v>
      </c>
      <c r="Q48" s="1">
        <v>309</v>
      </c>
      <c r="R48" s="1">
        <v>394</v>
      </c>
      <c r="S48" s="1">
        <v>119</v>
      </c>
      <c r="T48" s="1">
        <v>60</v>
      </c>
      <c r="U48" s="12">
        <v>83</v>
      </c>
      <c r="V48" s="29" t="s">
        <v>120</v>
      </c>
    </row>
    <row r="49" spans="1:22" x14ac:dyDescent="0.25">
      <c r="A49" t="s">
        <v>70</v>
      </c>
      <c r="B49" s="10" t="s">
        <v>26</v>
      </c>
      <c r="C49" s="1">
        <v>760</v>
      </c>
      <c r="D49" s="2">
        <v>0.82</v>
      </c>
      <c r="E49" s="6">
        <v>132.19</v>
      </c>
      <c r="F49" s="2">
        <f t="shared" si="6"/>
        <v>0.68356997971602429</v>
      </c>
      <c r="G49" s="3">
        <v>0.71</v>
      </c>
      <c r="H49" s="5">
        <v>89.84</v>
      </c>
      <c r="I49" s="2">
        <f t="shared" si="7"/>
        <v>0.44342105263157894</v>
      </c>
      <c r="J49" s="2">
        <f t="shared" si="8"/>
        <v>0.33289473684210524</v>
      </c>
      <c r="K49" s="2">
        <f t="shared" si="9"/>
        <v>3.6842105263157891E-2</v>
      </c>
      <c r="L49" s="2">
        <f t="shared" si="10"/>
        <v>5.3947368421052633E-2</v>
      </c>
      <c r="M49" s="3">
        <v>0.21</v>
      </c>
      <c r="N49" s="11">
        <f t="shared" si="11"/>
        <v>7.8947368421052634E-3</v>
      </c>
      <c r="O49" s="1">
        <v>6</v>
      </c>
      <c r="P49" s="1">
        <v>18</v>
      </c>
      <c r="Q49" s="1">
        <v>337</v>
      </c>
      <c r="R49" s="1">
        <v>493</v>
      </c>
      <c r="S49" s="1">
        <v>253</v>
      </c>
      <c r="T49" s="1">
        <v>28</v>
      </c>
      <c r="U49" s="12">
        <v>41</v>
      </c>
      <c r="V49" s="29" t="s">
        <v>39</v>
      </c>
    </row>
    <row r="50" spans="1:22" x14ac:dyDescent="0.25">
      <c r="A50" t="s">
        <v>97</v>
      </c>
      <c r="B50" s="10" t="s">
        <v>93</v>
      </c>
      <c r="C50" s="1">
        <v>641</v>
      </c>
      <c r="D50" s="2">
        <v>0.81</v>
      </c>
      <c r="E50" s="6">
        <v>170.6</v>
      </c>
      <c r="F50" s="2">
        <f t="shared" si="6"/>
        <v>0.77542372881355937</v>
      </c>
      <c r="G50" s="3">
        <v>0.66</v>
      </c>
      <c r="H50" s="5">
        <v>111.75</v>
      </c>
      <c r="I50" s="2">
        <f t="shared" si="7"/>
        <v>0.57098283931357252</v>
      </c>
      <c r="J50" s="2">
        <f t="shared" si="8"/>
        <v>0.18720748829953199</v>
      </c>
      <c r="K50" s="2">
        <f t="shared" si="9"/>
        <v>7.9563182527301088E-2</v>
      </c>
      <c r="L50" s="2">
        <f t="shared" si="10"/>
        <v>0.10140405616224649</v>
      </c>
      <c r="M50" s="3">
        <v>0.14000000000000001</v>
      </c>
      <c r="N50" s="11">
        <f t="shared" si="11"/>
        <v>1.2480499219968799E-2</v>
      </c>
      <c r="O50" s="1">
        <v>8</v>
      </c>
      <c r="P50" s="1">
        <v>21</v>
      </c>
      <c r="Q50" s="1">
        <v>366</v>
      </c>
      <c r="R50" s="1">
        <v>472</v>
      </c>
      <c r="S50" s="1">
        <v>120</v>
      </c>
      <c r="T50" s="1">
        <v>51</v>
      </c>
      <c r="U50" s="12">
        <v>65</v>
      </c>
      <c r="V50" s="29" t="s">
        <v>120</v>
      </c>
    </row>
    <row r="51" spans="1:22" x14ac:dyDescent="0.25">
      <c r="A51" t="s">
        <v>106</v>
      </c>
      <c r="B51" s="10" t="s">
        <v>105</v>
      </c>
      <c r="C51" s="1">
        <v>596</v>
      </c>
      <c r="D51" s="2">
        <v>0.81</v>
      </c>
      <c r="E51" s="6">
        <v>156.15</v>
      </c>
      <c r="F51" s="2">
        <f t="shared" si="6"/>
        <v>0.7654028436018957</v>
      </c>
      <c r="G51" s="3">
        <v>0.64</v>
      </c>
      <c r="H51" s="5">
        <v>106.22</v>
      </c>
      <c r="I51" s="2">
        <f t="shared" si="7"/>
        <v>0.54194630872483218</v>
      </c>
      <c r="J51" s="2">
        <f t="shared" si="8"/>
        <v>0.21308724832214765</v>
      </c>
      <c r="K51" s="2">
        <f t="shared" si="9"/>
        <v>3.1879194630872486E-2</v>
      </c>
      <c r="L51" s="2">
        <f t="shared" si="10"/>
        <v>8.3892617449664433E-2</v>
      </c>
      <c r="M51" s="3">
        <v>0.2</v>
      </c>
      <c r="N51" s="11">
        <f t="shared" si="11"/>
        <v>1.6778523489932886E-3</v>
      </c>
      <c r="O51" s="1">
        <v>1</v>
      </c>
      <c r="P51" s="1">
        <v>19</v>
      </c>
      <c r="Q51" s="1">
        <v>323</v>
      </c>
      <c r="R51" s="1">
        <v>422</v>
      </c>
      <c r="S51" s="1">
        <v>127</v>
      </c>
      <c r="T51" s="1">
        <v>19</v>
      </c>
      <c r="U51" s="12">
        <v>50</v>
      </c>
      <c r="V51" s="29" t="s">
        <v>120</v>
      </c>
    </row>
    <row r="52" spans="1:22" x14ac:dyDescent="0.25">
      <c r="A52" t="s">
        <v>108</v>
      </c>
      <c r="B52" s="10" t="s">
        <v>105</v>
      </c>
      <c r="C52" s="1">
        <v>422</v>
      </c>
      <c r="D52" s="2">
        <v>0.81</v>
      </c>
      <c r="E52" s="6">
        <v>150.22</v>
      </c>
      <c r="F52" s="2">
        <f t="shared" si="6"/>
        <v>0.75737704918032789</v>
      </c>
      <c r="G52" s="3">
        <v>0.68</v>
      </c>
      <c r="H52" s="5">
        <v>99.73</v>
      </c>
      <c r="I52" s="2">
        <f t="shared" si="7"/>
        <v>0.54739336492891</v>
      </c>
      <c r="J52" s="2">
        <f t="shared" si="8"/>
        <v>0.3009478672985782</v>
      </c>
      <c r="K52" s="2">
        <f t="shared" si="9"/>
        <v>4.0284360189573459E-2</v>
      </c>
      <c r="L52" s="2">
        <f t="shared" si="10"/>
        <v>7.1090047393364927E-2</v>
      </c>
      <c r="M52" s="3">
        <v>0.19</v>
      </c>
      <c r="N52" s="11">
        <f t="shared" si="11"/>
        <v>1.8957345971563982E-2</v>
      </c>
      <c r="O52" s="1">
        <v>8</v>
      </c>
      <c r="P52" s="1">
        <v>21</v>
      </c>
      <c r="Q52" s="1">
        <v>231</v>
      </c>
      <c r="R52" s="1">
        <v>305</v>
      </c>
      <c r="S52" s="1">
        <v>127</v>
      </c>
      <c r="T52" s="1">
        <v>17</v>
      </c>
      <c r="U52" s="12">
        <v>30</v>
      </c>
      <c r="V52" s="29" t="s">
        <v>120</v>
      </c>
    </row>
    <row r="53" spans="1:22" x14ac:dyDescent="0.25">
      <c r="A53" t="s">
        <v>114</v>
      </c>
      <c r="B53" s="10" t="s">
        <v>115</v>
      </c>
      <c r="C53" s="1">
        <v>417</v>
      </c>
      <c r="D53" s="2">
        <v>0.8</v>
      </c>
      <c r="E53" s="6">
        <v>146.19999999999999</v>
      </c>
      <c r="F53" s="2">
        <f t="shared" si="6"/>
        <v>0.7068965517241379</v>
      </c>
      <c r="G53" s="3">
        <v>0.67</v>
      </c>
      <c r="H53" s="5">
        <v>97.79</v>
      </c>
      <c r="I53" s="2">
        <f t="shared" si="7"/>
        <v>0.49160671462829736</v>
      </c>
      <c r="J53" s="2">
        <f t="shared" si="8"/>
        <v>0.30695443645083931</v>
      </c>
      <c r="K53" s="2">
        <f t="shared" si="9"/>
        <v>3.8369304556354913E-2</v>
      </c>
      <c r="L53" s="2">
        <f t="shared" si="10"/>
        <v>8.1534772182254203E-2</v>
      </c>
      <c r="M53" s="3">
        <v>0.15</v>
      </c>
      <c r="N53" s="11">
        <f t="shared" si="11"/>
        <v>1.1990407673860911E-2</v>
      </c>
      <c r="O53" s="1">
        <v>5</v>
      </c>
      <c r="P53" s="1">
        <v>17</v>
      </c>
      <c r="Q53" s="1">
        <v>205</v>
      </c>
      <c r="R53" s="1">
        <v>290</v>
      </c>
      <c r="S53" s="1">
        <v>128</v>
      </c>
      <c r="T53" s="1">
        <v>16</v>
      </c>
      <c r="U53" s="12">
        <v>34</v>
      </c>
      <c r="V53" s="29" t="s">
        <v>120</v>
      </c>
    </row>
    <row r="54" spans="1:22" x14ac:dyDescent="0.25">
      <c r="A54" t="s">
        <v>79</v>
      </c>
      <c r="B54" s="10" t="s">
        <v>31</v>
      </c>
      <c r="C54" s="1">
        <v>755</v>
      </c>
      <c r="D54" s="1">
        <v>0.8</v>
      </c>
      <c r="E54" s="6">
        <v>130.38</v>
      </c>
      <c r="F54" s="2">
        <f t="shared" si="6"/>
        <v>0.79371316306483297</v>
      </c>
      <c r="G54" s="4">
        <v>0.71499999999999997</v>
      </c>
      <c r="H54" s="5">
        <v>94.88</v>
      </c>
      <c r="I54" s="2">
        <f t="shared" si="7"/>
        <v>0.53509933774834439</v>
      </c>
      <c r="J54" s="2">
        <f t="shared" si="8"/>
        <v>0.31788079470198677</v>
      </c>
      <c r="K54" s="2">
        <f t="shared" si="9"/>
        <v>4.2384105960264901E-2</v>
      </c>
      <c r="L54" s="2">
        <f t="shared" si="10"/>
        <v>5.1655629139072845E-2</v>
      </c>
      <c r="M54" s="4">
        <v>0.17</v>
      </c>
      <c r="N54" s="11">
        <f t="shared" si="11"/>
        <v>1.5894039735099338E-2</v>
      </c>
      <c r="O54" s="1">
        <v>12</v>
      </c>
      <c r="P54" s="1">
        <v>23</v>
      </c>
      <c r="Q54" s="1">
        <v>404</v>
      </c>
      <c r="R54" s="1">
        <v>509</v>
      </c>
      <c r="S54" s="1">
        <v>240</v>
      </c>
      <c r="T54" s="1">
        <v>32</v>
      </c>
      <c r="U54" s="12">
        <v>39</v>
      </c>
      <c r="V54" s="31" t="s">
        <v>129</v>
      </c>
    </row>
    <row r="55" spans="1:22" x14ac:dyDescent="0.25">
      <c r="A55" t="s">
        <v>82</v>
      </c>
      <c r="B55" s="10" t="s">
        <v>83</v>
      </c>
      <c r="C55" s="1">
        <v>562</v>
      </c>
      <c r="D55" s="1">
        <v>0.79</v>
      </c>
      <c r="E55" s="6">
        <v>175.21</v>
      </c>
      <c r="F55" s="2">
        <f t="shared" si="6"/>
        <v>0.87104072398190047</v>
      </c>
      <c r="G55" s="4">
        <v>0.66500000000000004</v>
      </c>
      <c r="H55" s="5">
        <v>113.35</v>
      </c>
      <c r="I55" s="2">
        <f t="shared" si="7"/>
        <v>0.68505338078291811</v>
      </c>
      <c r="J55" s="2">
        <f t="shared" si="8"/>
        <v>0.21352313167259787</v>
      </c>
      <c r="K55" s="2">
        <f t="shared" si="9"/>
        <v>0.10498220640569395</v>
      </c>
      <c r="L55" s="2">
        <f t="shared" si="10"/>
        <v>0.10854092526690391</v>
      </c>
      <c r="M55" s="4">
        <v>0.23499999999999999</v>
      </c>
      <c r="N55" s="11">
        <f t="shared" si="11"/>
        <v>7.1174377224199285E-3</v>
      </c>
      <c r="O55" s="1">
        <v>4</v>
      </c>
      <c r="P55" s="1">
        <v>24</v>
      </c>
      <c r="Q55" s="1">
        <v>385</v>
      </c>
      <c r="R55" s="1">
        <v>442</v>
      </c>
      <c r="S55" s="1">
        <v>120</v>
      </c>
      <c r="T55" s="1">
        <v>59</v>
      </c>
      <c r="U55" s="12">
        <v>61</v>
      </c>
      <c r="V55" s="31" t="s">
        <v>130</v>
      </c>
    </row>
    <row r="56" spans="1:22" x14ac:dyDescent="0.25">
      <c r="A56" t="s">
        <v>113</v>
      </c>
      <c r="B56" s="10" t="s">
        <v>83</v>
      </c>
      <c r="C56" s="1">
        <v>501</v>
      </c>
      <c r="D56" s="2">
        <v>0.79</v>
      </c>
      <c r="E56" s="6">
        <v>162.61000000000001</v>
      </c>
      <c r="F56" s="2">
        <f t="shared" si="6"/>
        <v>0.71279373368146215</v>
      </c>
      <c r="G56" s="3">
        <v>0.69</v>
      </c>
      <c r="H56" s="5">
        <v>103.43</v>
      </c>
      <c r="I56" s="2">
        <f t="shared" si="7"/>
        <v>0.54491017964071853</v>
      </c>
      <c r="J56" s="2">
        <f t="shared" si="8"/>
        <v>0.32934131736526945</v>
      </c>
      <c r="K56" s="2">
        <f t="shared" si="9"/>
        <v>4.9900199600798403E-2</v>
      </c>
      <c r="L56" s="2">
        <f t="shared" si="10"/>
        <v>9.9800399201596807E-2</v>
      </c>
      <c r="M56" s="3">
        <v>0.15</v>
      </c>
      <c r="N56" s="11">
        <f t="shared" si="11"/>
        <v>5.9880239520958087E-3</v>
      </c>
      <c r="O56" s="1">
        <v>3</v>
      </c>
      <c r="P56" s="1">
        <v>21</v>
      </c>
      <c r="Q56" s="1">
        <v>273</v>
      </c>
      <c r="R56" s="1">
        <v>383</v>
      </c>
      <c r="S56" s="1">
        <v>165</v>
      </c>
      <c r="T56" s="1">
        <v>25</v>
      </c>
      <c r="U56" s="12">
        <v>50</v>
      </c>
      <c r="V56" s="31" t="s">
        <v>29</v>
      </c>
    </row>
    <row r="57" spans="1:22" x14ac:dyDescent="0.25">
      <c r="A57" t="s">
        <v>90</v>
      </c>
      <c r="B57" s="10" t="s">
        <v>85</v>
      </c>
      <c r="C57" s="1">
        <v>559</v>
      </c>
      <c r="D57" s="2">
        <v>0.75</v>
      </c>
      <c r="E57" s="6">
        <v>164</v>
      </c>
      <c r="F57" s="2">
        <f t="shared" si="6"/>
        <v>0.72580645161290325</v>
      </c>
      <c r="G57" s="3">
        <v>0.61</v>
      </c>
      <c r="H57" s="5">
        <v>107.96</v>
      </c>
      <c r="I57" s="2">
        <f t="shared" si="7"/>
        <v>0.56350626118067981</v>
      </c>
      <c r="J57" s="2">
        <f t="shared" si="8"/>
        <v>0.18962432915921287</v>
      </c>
      <c r="K57" s="2">
        <f t="shared" si="9"/>
        <v>8.2289803220035776E-2</v>
      </c>
      <c r="L57" s="2">
        <f t="shared" si="10"/>
        <v>0.16279069767441862</v>
      </c>
      <c r="M57" s="3">
        <v>0.2</v>
      </c>
      <c r="N57" s="11">
        <f t="shared" si="11"/>
        <v>0</v>
      </c>
      <c r="O57" s="1">
        <v>0</v>
      </c>
      <c r="P57" s="1">
        <v>19</v>
      </c>
      <c r="Q57" s="1">
        <v>315</v>
      </c>
      <c r="R57" s="1">
        <v>434</v>
      </c>
      <c r="S57" s="1">
        <v>106</v>
      </c>
      <c r="T57" s="1">
        <v>46</v>
      </c>
      <c r="U57" s="12">
        <v>91</v>
      </c>
      <c r="V57" s="30" t="s">
        <v>24</v>
      </c>
    </row>
    <row r="58" spans="1:22" x14ac:dyDescent="0.25">
      <c r="A58" t="s">
        <v>77</v>
      </c>
      <c r="B58" s="10" t="s">
        <v>46</v>
      </c>
      <c r="C58" s="1">
        <v>704</v>
      </c>
      <c r="D58" s="2">
        <v>0.7</v>
      </c>
      <c r="E58" s="6">
        <v>120.5</v>
      </c>
      <c r="F58" s="2">
        <f t="shared" si="6"/>
        <v>0.53238866396761131</v>
      </c>
      <c r="G58" s="3">
        <v>0.64</v>
      </c>
      <c r="H58" s="5">
        <v>80.650000000000006</v>
      </c>
      <c r="I58" s="2">
        <f t="shared" si="7"/>
        <v>0.37357954545454547</v>
      </c>
      <c r="J58" s="2">
        <f t="shared" si="8"/>
        <v>0.28267045454545453</v>
      </c>
      <c r="K58" s="2">
        <f t="shared" si="9"/>
        <v>2.130681818181818E-2</v>
      </c>
      <c r="L58" s="2">
        <f t="shared" si="10"/>
        <v>6.25E-2</v>
      </c>
      <c r="M58" s="3">
        <v>0.17</v>
      </c>
      <c r="N58" s="11">
        <f t="shared" si="11"/>
        <v>7.102272727272727E-3</v>
      </c>
      <c r="O58" s="1">
        <v>5</v>
      </c>
      <c r="P58" s="1">
        <v>14</v>
      </c>
      <c r="Q58" s="1">
        <v>263</v>
      </c>
      <c r="R58" s="1">
        <v>494</v>
      </c>
      <c r="S58" s="1">
        <v>199</v>
      </c>
      <c r="T58" s="1">
        <v>15</v>
      </c>
      <c r="U58" s="12">
        <v>44</v>
      </c>
      <c r="V58" s="29" t="s">
        <v>122</v>
      </c>
    </row>
    <row r="59" spans="1:22" x14ac:dyDescent="0.25">
      <c r="A59" t="s">
        <v>101</v>
      </c>
      <c r="B59" s="10" t="s">
        <v>99</v>
      </c>
      <c r="C59" s="1">
        <v>353</v>
      </c>
      <c r="D59" s="1">
        <v>0.69</v>
      </c>
      <c r="E59" s="6">
        <v>154.53</v>
      </c>
      <c r="F59" s="2">
        <f t="shared" si="6"/>
        <v>0.69395017793594305</v>
      </c>
      <c r="G59" s="4">
        <v>0.6</v>
      </c>
      <c r="H59" s="5">
        <v>89.35</v>
      </c>
      <c r="I59" s="2">
        <f t="shared" si="7"/>
        <v>0.55240793201133143</v>
      </c>
      <c r="J59" s="2">
        <f t="shared" si="8"/>
        <v>0.25212464589235128</v>
      </c>
      <c r="K59" s="2">
        <f t="shared" si="9"/>
        <v>6.5155807365439092E-2</v>
      </c>
      <c r="L59" s="2">
        <f t="shared" si="10"/>
        <v>0.13314447592067988</v>
      </c>
      <c r="M59" s="4">
        <v>0.14000000000000001</v>
      </c>
      <c r="N59" s="11">
        <f t="shared" si="11"/>
        <v>1.1331444759206799E-2</v>
      </c>
      <c r="O59" s="1">
        <v>4</v>
      </c>
      <c r="P59" s="1">
        <v>23</v>
      </c>
      <c r="Q59" s="1">
        <v>195</v>
      </c>
      <c r="R59" s="1">
        <v>281</v>
      </c>
      <c r="S59" s="1">
        <v>89</v>
      </c>
      <c r="T59" s="1">
        <v>23</v>
      </c>
      <c r="U59" s="12">
        <v>47</v>
      </c>
      <c r="V59" s="31" t="s">
        <v>29</v>
      </c>
    </row>
    <row r="60" spans="1:22" x14ac:dyDescent="0.25">
      <c r="A60" t="s">
        <v>103</v>
      </c>
      <c r="B60" s="10" t="s">
        <v>99</v>
      </c>
      <c r="C60" s="1">
        <v>320</v>
      </c>
      <c r="D60" s="2">
        <v>0.69</v>
      </c>
      <c r="E60" s="6">
        <v>145.88</v>
      </c>
      <c r="F60" s="2">
        <f t="shared" si="6"/>
        <v>0.61290322580645162</v>
      </c>
      <c r="G60" s="3">
        <v>0.66</v>
      </c>
      <c r="H60" s="5">
        <v>95.12</v>
      </c>
      <c r="I60" s="2">
        <f t="shared" si="7"/>
        <v>0.47499999999999998</v>
      </c>
      <c r="J60" s="2">
        <f t="shared" si="8"/>
        <v>0.21875</v>
      </c>
      <c r="K60" s="2">
        <f t="shared" si="9"/>
        <v>4.3749999999999997E-2</v>
      </c>
      <c r="L60" s="2">
        <f t="shared" si="10"/>
        <v>7.8125E-2</v>
      </c>
      <c r="M60" s="3">
        <v>0.16</v>
      </c>
      <c r="N60" s="11">
        <f t="shared" si="11"/>
        <v>0</v>
      </c>
      <c r="O60" s="1">
        <v>0</v>
      </c>
      <c r="P60" s="1">
        <v>16</v>
      </c>
      <c r="Q60" s="1">
        <v>152</v>
      </c>
      <c r="R60" s="1">
        <v>248</v>
      </c>
      <c r="S60" s="1">
        <v>70</v>
      </c>
      <c r="T60" s="1">
        <v>14</v>
      </c>
      <c r="U60" s="12">
        <v>25</v>
      </c>
      <c r="V60" s="31" t="s">
        <v>29</v>
      </c>
    </row>
    <row r="61" spans="1:22" x14ac:dyDescent="0.25">
      <c r="A61" t="s">
        <v>110</v>
      </c>
      <c r="B61" s="10" t="s">
        <v>83</v>
      </c>
      <c r="C61" s="1">
        <v>370</v>
      </c>
      <c r="D61" s="2">
        <v>0.68</v>
      </c>
      <c r="E61" s="6">
        <v>127.6</v>
      </c>
      <c r="F61" s="2">
        <f t="shared" si="6"/>
        <v>0.63059701492537312</v>
      </c>
      <c r="G61" s="3">
        <v>0.61</v>
      </c>
      <c r="H61" s="5">
        <v>82.81</v>
      </c>
      <c r="I61" s="2">
        <f t="shared" si="7"/>
        <v>0.45675675675675675</v>
      </c>
      <c r="J61" s="2">
        <f t="shared" si="8"/>
        <v>0.20270270270270271</v>
      </c>
      <c r="K61" s="2">
        <f t="shared" si="9"/>
        <v>5.1351351351351354E-2</v>
      </c>
      <c r="L61" s="2">
        <f t="shared" si="10"/>
        <v>7.0270270270270274E-2</v>
      </c>
      <c r="M61" s="3">
        <v>0.18</v>
      </c>
      <c r="N61" s="11">
        <f t="shared" si="11"/>
        <v>1.0810810810810811E-2</v>
      </c>
      <c r="O61" s="1">
        <v>4</v>
      </c>
      <c r="P61" s="1">
        <v>18</v>
      </c>
      <c r="Q61" s="1">
        <v>169</v>
      </c>
      <c r="R61" s="1">
        <v>268</v>
      </c>
      <c r="S61" s="1">
        <v>75</v>
      </c>
      <c r="T61" s="1">
        <v>19</v>
      </c>
      <c r="U61" s="12">
        <v>26</v>
      </c>
      <c r="V61" s="31" t="s">
        <v>29</v>
      </c>
    </row>
    <row r="62" spans="1:22" x14ac:dyDescent="0.25">
      <c r="A62" s="13" t="s">
        <v>94</v>
      </c>
      <c r="B62" s="14" t="s">
        <v>93</v>
      </c>
      <c r="C62" s="15">
        <v>480</v>
      </c>
      <c r="D62" s="16">
        <v>0.65</v>
      </c>
      <c r="E62" s="17">
        <v>108.03</v>
      </c>
      <c r="F62" s="16">
        <f t="shared" si="6"/>
        <v>0.5400593471810089</v>
      </c>
      <c r="G62" s="18">
        <v>0.66</v>
      </c>
      <c r="H62" s="19">
        <v>73.14</v>
      </c>
      <c r="I62" s="16">
        <f t="shared" si="7"/>
        <v>0.37916666666666665</v>
      </c>
      <c r="J62" s="16">
        <f t="shared" si="8"/>
        <v>0.25</v>
      </c>
      <c r="K62" s="16">
        <f t="shared" si="9"/>
        <v>2.2916666666666665E-2</v>
      </c>
      <c r="L62" s="16">
        <f t="shared" si="10"/>
        <v>6.25E-2</v>
      </c>
      <c r="M62" s="18">
        <v>0.22</v>
      </c>
      <c r="N62" s="20">
        <f t="shared" si="11"/>
        <v>8.3333333333333332E-3</v>
      </c>
      <c r="O62" s="15">
        <v>4</v>
      </c>
      <c r="P62" s="15">
        <v>18</v>
      </c>
      <c r="Q62" s="15">
        <v>182</v>
      </c>
      <c r="R62" s="15">
        <v>337</v>
      </c>
      <c r="S62" s="15">
        <v>120</v>
      </c>
      <c r="T62" s="15">
        <v>11</v>
      </c>
      <c r="U62" s="21">
        <v>30</v>
      </c>
      <c r="V62" s="32" t="s">
        <v>24</v>
      </c>
    </row>
  </sheetData>
  <autoFilter ref="A1:V1" xr:uid="{00000000-0009-0000-0000-000000000000}">
    <sortState xmlns:xlrd2="http://schemas.microsoft.com/office/spreadsheetml/2017/richdata2" ref="A2:V62">
      <sortCondition descending="1" ref="D1"/>
    </sortState>
  </autoFilter>
  <conditionalFormatting sqref="C2:C61">
    <cfRule type="top10" dxfId="23" priority="2" rank="1"/>
  </conditionalFormatting>
  <conditionalFormatting sqref="D2:D6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E2:E6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</conditionalFormatting>
  <conditionalFormatting sqref="F2:F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max"/>
        <color rgb="FFFFEF9C"/>
        <color rgb="FF63BE7B"/>
      </colorScale>
    </cfRule>
  </conditionalFormatting>
  <conditionalFormatting sqref="G2:G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max"/>
        <color rgb="FFFFEF9C"/>
        <color rgb="FF63BE7B"/>
      </colorScale>
    </cfRule>
  </conditionalFormatting>
  <conditionalFormatting sqref="H2:H6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6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1">
    <cfRule type="top10" dxfId="22" priority="1" rank="1"/>
  </conditionalFormatting>
  <conditionalFormatting sqref="P2:P61">
    <cfRule type="top10" dxfId="21" priority="8" rank="1"/>
  </conditionalFormatting>
  <conditionalFormatting sqref="Q2:Q61">
    <cfRule type="top10" dxfId="20" priority="7" rank="1"/>
  </conditionalFormatting>
  <conditionalFormatting sqref="R2:R61">
    <cfRule type="top10" dxfId="19" priority="6" bottom="1" rank="1"/>
  </conditionalFormatting>
  <conditionalFormatting sqref="S2:S61">
    <cfRule type="top10" dxfId="18" priority="5" rank="1"/>
  </conditionalFormatting>
  <conditionalFormatting sqref="T2:T61">
    <cfRule type="top10" dxfId="17" priority="4" rank="1"/>
  </conditionalFormatting>
  <conditionalFormatting sqref="U2:U61">
    <cfRule type="top10" dxfId="16" priority="3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2"/>
  <sheetViews>
    <sheetView workbookViewId="0">
      <selection activeCell="P70" sqref="P70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2.42578125" bestFit="1" customWidth="1"/>
    <col min="4" max="4" width="9.42578125" bestFit="1" customWidth="1"/>
    <col min="5" max="5" width="9.28515625" bestFit="1" customWidth="1"/>
    <col min="6" max="6" width="8.7109375" bestFit="1" customWidth="1"/>
    <col min="7" max="7" width="10" bestFit="1" customWidth="1"/>
    <col min="8" max="8" width="9.42578125" bestFit="1" customWidth="1"/>
    <col min="9" max="9" width="9.140625" bestFit="1" customWidth="1"/>
    <col min="11" max="11" width="10.140625" bestFit="1" customWidth="1"/>
    <col min="12" max="12" width="10.42578125" bestFit="1" customWidth="1"/>
    <col min="13" max="13" width="9.7109375" bestFit="1" customWidth="1"/>
    <col min="14" max="14" width="9.5703125" bestFit="1" customWidth="1"/>
    <col min="15" max="15" width="8" bestFit="1" customWidth="1"/>
    <col min="16" max="16" width="10.5703125" bestFit="1" customWidth="1"/>
  </cols>
  <sheetData>
    <row r="1" spans="1:22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8" t="s">
        <v>21</v>
      </c>
    </row>
    <row r="2" spans="1:22" x14ac:dyDescent="0.25">
      <c r="A2" t="s">
        <v>65</v>
      </c>
      <c r="B2" s="10" t="s">
        <v>46</v>
      </c>
      <c r="C2" s="1">
        <v>515</v>
      </c>
      <c r="D2" s="2">
        <v>1.43</v>
      </c>
      <c r="E2" s="6">
        <v>330.78</v>
      </c>
      <c r="F2" s="2">
        <f t="shared" ref="F2:F33" si="0">Q2/R2</f>
        <v>1.494949494949495</v>
      </c>
      <c r="G2" s="4">
        <v>0.78</v>
      </c>
      <c r="H2" s="5">
        <v>214.31</v>
      </c>
      <c r="I2" s="2">
        <f t="shared" ref="I2:I33" si="1">Q2/C2</f>
        <v>1.149514563106796</v>
      </c>
      <c r="J2" s="2">
        <f t="shared" ref="J2:J33" si="2">S2/C2</f>
        <v>0.3300970873786408</v>
      </c>
      <c r="K2" s="2">
        <f t="shared" ref="K2:K33" si="3">T2/C2</f>
        <v>0.14563106796116504</v>
      </c>
      <c r="L2" s="2">
        <f t="shared" ref="L2:L33" si="4">U2/C2</f>
        <v>0.1087378640776699</v>
      </c>
      <c r="M2" s="4">
        <v>0.25</v>
      </c>
      <c r="N2" s="11">
        <f t="shared" ref="N2:N33" si="5">O2/C2</f>
        <v>1.3592233009708738E-2</v>
      </c>
      <c r="O2" s="1">
        <v>7</v>
      </c>
      <c r="P2" s="1">
        <v>40</v>
      </c>
      <c r="Q2" s="1">
        <v>592</v>
      </c>
      <c r="R2" s="1">
        <v>396</v>
      </c>
      <c r="S2" s="1">
        <v>170</v>
      </c>
      <c r="T2" s="1">
        <v>75</v>
      </c>
      <c r="U2" s="12">
        <v>56</v>
      </c>
      <c r="V2" s="23" t="s">
        <v>24</v>
      </c>
    </row>
    <row r="3" spans="1:22" x14ac:dyDescent="0.25">
      <c r="A3" t="s">
        <v>111</v>
      </c>
      <c r="B3" s="10" t="s">
        <v>83</v>
      </c>
      <c r="C3" s="1">
        <v>473</v>
      </c>
      <c r="D3" s="2">
        <v>1.33</v>
      </c>
      <c r="E3" s="6">
        <v>312.52999999999997</v>
      </c>
      <c r="F3" s="2">
        <f t="shared" si="0"/>
        <v>1.4883720930232558</v>
      </c>
      <c r="G3" s="3">
        <v>0.74</v>
      </c>
      <c r="H3" s="5">
        <v>192.25</v>
      </c>
      <c r="I3" s="2">
        <f t="shared" si="1"/>
        <v>1.0824524312896406</v>
      </c>
      <c r="J3" s="2">
        <f t="shared" si="2"/>
        <v>0.20718816067653276</v>
      </c>
      <c r="K3" s="2">
        <f t="shared" si="3"/>
        <v>0.1945031712473573</v>
      </c>
      <c r="L3" s="2">
        <f t="shared" si="4"/>
        <v>0.1331923890063425</v>
      </c>
      <c r="M3" s="3">
        <v>0.27</v>
      </c>
      <c r="N3" s="11">
        <f t="shared" si="5"/>
        <v>1.9027484143763214E-2</v>
      </c>
      <c r="O3" s="1">
        <v>9</v>
      </c>
      <c r="P3" s="1">
        <v>38</v>
      </c>
      <c r="Q3" s="1">
        <v>512</v>
      </c>
      <c r="R3" s="1">
        <v>344</v>
      </c>
      <c r="S3" s="1">
        <v>98</v>
      </c>
      <c r="T3" s="1">
        <v>92</v>
      </c>
      <c r="U3" s="12">
        <v>63</v>
      </c>
      <c r="V3" s="23" t="s">
        <v>24</v>
      </c>
    </row>
    <row r="4" spans="1:22" x14ac:dyDescent="0.25">
      <c r="A4" t="s">
        <v>28</v>
      </c>
      <c r="B4" s="10" t="s">
        <v>23</v>
      </c>
      <c r="C4" s="1">
        <v>666</v>
      </c>
      <c r="D4" s="2">
        <v>1.32</v>
      </c>
      <c r="E4" s="6">
        <v>290.19</v>
      </c>
      <c r="F4" s="2">
        <f t="shared" si="0"/>
        <v>1.5116772823779194</v>
      </c>
      <c r="G4" s="3">
        <v>0.75</v>
      </c>
      <c r="H4" s="5">
        <v>185.73</v>
      </c>
      <c r="I4" s="2">
        <f t="shared" si="1"/>
        <v>1.0690690690690692</v>
      </c>
      <c r="J4" s="2">
        <f t="shared" si="2"/>
        <v>0.17717717717717718</v>
      </c>
      <c r="K4" s="2">
        <f t="shared" si="3"/>
        <v>0.17717717717717718</v>
      </c>
      <c r="L4" s="2">
        <f t="shared" si="4"/>
        <v>0.11411411411411411</v>
      </c>
      <c r="M4" s="3">
        <v>0.45</v>
      </c>
      <c r="N4" s="11">
        <f t="shared" si="5"/>
        <v>1.5015015015015015E-3</v>
      </c>
      <c r="O4" s="1">
        <v>1</v>
      </c>
      <c r="P4" s="1">
        <v>34</v>
      </c>
      <c r="Q4" s="1">
        <v>712</v>
      </c>
      <c r="R4" s="1">
        <v>471</v>
      </c>
      <c r="S4" s="1">
        <v>118</v>
      </c>
      <c r="T4" s="1">
        <v>118</v>
      </c>
      <c r="U4" s="12">
        <v>76</v>
      </c>
      <c r="V4" s="23" t="s">
        <v>24</v>
      </c>
    </row>
    <row r="5" spans="1:22" x14ac:dyDescent="0.25">
      <c r="A5" t="s">
        <v>84</v>
      </c>
      <c r="B5" s="10" t="s">
        <v>85</v>
      </c>
      <c r="C5" s="1">
        <v>649</v>
      </c>
      <c r="D5" s="2">
        <v>1.26</v>
      </c>
      <c r="E5" s="6">
        <v>303.02999999999997</v>
      </c>
      <c r="F5" s="2">
        <f t="shared" si="0"/>
        <v>1.3360000000000001</v>
      </c>
      <c r="G5" s="3">
        <v>0.72</v>
      </c>
      <c r="H5" s="5">
        <v>191.4</v>
      </c>
      <c r="I5" s="2">
        <f t="shared" si="1"/>
        <v>1.0292758089368259</v>
      </c>
      <c r="J5" s="2">
        <f t="shared" si="2"/>
        <v>0.23112480739599384</v>
      </c>
      <c r="K5" s="2">
        <f t="shared" si="3"/>
        <v>0.22342064714946072</v>
      </c>
      <c r="L5" s="2">
        <f t="shared" si="4"/>
        <v>0.15870570107858242</v>
      </c>
      <c r="M5" s="3">
        <v>0.23</v>
      </c>
      <c r="N5" s="11">
        <f t="shared" si="5"/>
        <v>1.5408320493066256E-2</v>
      </c>
      <c r="O5" s="1">
        <v>10</v>
      </c>
      <c r="P5" s="1">
        <v>36</v>
      </c>
      <c r="Q5" s="1">
        <v>668</v>
      </c>
      <c r="R5" s="1">
        <v>500</v>
      </c>
      <c r="S5" s="1">
        <v>150</v>
      </c>
      <c r="T5" s="1">
        <v>145</v>
      </c>
      <c r="U5" s="12">
        <v>103</v>
      </c>
      <c r="V5" s="23" t="s">
        <v>24</v>
      </c>
    </row>
    <row r="6" spans="1:22" x14ac:dyDescent="0.25">
      <c r="A6" t="s">
        <v>95</v>
      </c>
      <c r="B6" s="10" t="s">
        <v>93</v>
      </c>
      <c r="C6" s="1">
        <v>684</v>
      </c>
      <c r="D6" s="2">
        <v>1.23</v>
      </c>
      <c r="E6" s="6">
        <v>277.76</v>
      </c>
      <c r="F6" s="2">
        <f t="shared" si="0"/>
        <v>1.2938856015779092</v>
      </c>
      <c r="G6" s="3">
        <v>0.73</v>
      </c>
      <c r="H6" s="5">
        <v>184.87</v>
      </c>
      <c r="I6" s="2">
        <f t="shared" si="1"/>
        <v>0.95906432748538006</v>
      </c>
      <c r="J6" s="2">
        <f t="shared" si="2"/>
        <v>0.19005847953216373</v>
      </c>
      <c r="K6" s="2">
        <f t="shared" si="3"/>
        <v>0.17251461988304093</v>
      </c>
      <c r="L6" s="2">
        <f t="shared" si="4"/>
        <v>0.12719298245614036</v>
      </c>
      <c r="M6" s="3">
        <v>0.26</v>
      </c>
      <c r="N6" s="11">
        <f t="shared" si="5"/>
        <v>7.3099415204678359E-3</v>
      </c>
      <c r="O6" s="1">
        <v>5</v>
      </c>
      <c r="P6" s="1">
        <v>32</v>
      </c>
      <c r="Q6" s="1">
        <v>656</v>
      </c>
      <c r="R6" s="1">
        <v>507</v>
      </c>
      <c r="S6" s="1">
        <v>130</v>
      </c>
      <c r="T6" s="1">
        <v>118</v>
      </c>
      <c r="U6" s="12">
        <v>87</v>
      </c>
      <c r="V6" s="23" t="s">
        <v>24</v>
      </c>
    </row>
    <row r="7" spans="1:22" x14ac:dyDescent="0.25">
      <c r="A7" t="s">
        <v>25</v>
      </c>
      <c r="B7" s="10" t="s">
        <v>26</v>
      </c>
      <c r="C7" s="1">
        <v>514</v>
      </c>
      <c r="D7" s="2">
        <v>1.23</v>
      </c>
      <c r="E7" s="6">
        <v>271.77999999999997</v>
      </c>
      <c r="F7" s="2">
        <f t="shared" si="0"/>
        <v>1.3105263157894738</v>
      </c>
      <c r="G7" s="3">
        <v>0.75</v>
      </c>
      <c r="H7" s="5">
        <v>177.02</v>
      </c>
      <c r="I7" s="2">
        <f t="shared" si="1"/>
        <v>0.9688715953307393</v>
      </c>
      <c r="J7" s="2">
        <f t="shared" si="2"/>
        <v>0.22762645914396887</v>
      </c>
      <c r="K7" s="2">
        <f t="shared" si="3"/>
        <v>0.19260700389105059</v>
      </c>
      <c r="L7" s="2">
        <f t="shared" si="4"/>
        <v>0.14396887159533073</v>
      </c>
      <c r="M7" s="3">
        <v>0.25</v>
      </c>
      <c r="N7" s="11">
        <f t="shared" si="5"/>
        <v>1.9455252918287938E-3</v>
      </c>
      <c r="O7" s="1">
        <v>1</v>
      </c>
      <c r="P7" s="1">
        <v>33</v>
      </c>
      <c r="Q7" s="1">
        <v>498</v>
      </c>
      <c r="R7" s="1">
        <v>380</v>
      </c>
      <c r="S7" s="1">
        <v>117</v>
      </c>
      <c r="T7" s="1">
        <v>99</v>
      </c>
      <c r="U7" s="12">
        <v>74</v>
      </c>
      <c r="V7" s="23" t="s">
        <v>24</v>
      </c>
    </row>
    <row r="8" spans="1:22" x14ac:dyDescent="0.25">
      <c r="A8" t="s">
        <v>119</v>
      </c>
      <c r="B8" s="10" t="s">
        <v>115</v>
      </c>
      <c r="C8" s="1">
        <v>376</v>
      </c>
      <c r="D8" s="2">
        <v>1.23</v>
      </c>
      <c r="E8" s="6">
        <v>252.13</v>
      </c>
      <c r="F8" s="2">
        <f t="shared" si="0"/>
        <v>1.2796934865900382</v>
      </c>
      <c r="G8" s="3">
        <v>0.76</v>
      </c>
      <c r="H8" s="5">
        <v>165.28</v>
      </c>
      <c r="I8" s="2">
        <f t="shared" si="1"/>
        <v>0.88829787234042556</v>
      </c>
      <c r="J8" s="2">
        <f t="shared" si="2"/>
        <v>0.39095744680851063</v>
      </c>
      <c r="K8" s="2">
        <f t="shared" si="3"/>
        <v>6.6489361702127658E-2</v>
      </c>
      <c r="L8" s="2">
        <f t="shared" si="4"/>
        <v>5.3191489361702128E-2</v>
      </c>
      <c r="M8" s="3">
        <v>0.28999999999999998</v>
      </c>
      <c r="N8" s="11">
        <f t="shared" si="5"/>
        <v>2.6595744680851064E-2</v>
      </c>
      <c r="O8" s="1">
        <v>10</v>
      </c>
      <c r="P8" s="1">
        <v>37</v>
      </c>
      <c r="Q8" s="1">
        <v>334</v>
      </c>
      <c r="R8" s="1">
        <v>261</v>
      </c>
      <c r="S8" s="1">
        <v>147</v>
      </c>
      <c r="T8" s="1">
        <v>25</v>
      </c>
      <c r="U8" s="12">
        <v>20</v>
      </c>
      <c r="V8" s="23" t="s">
        <v>24</v>
      </c>
    </row>
    <row r="9" spans="1:22" x14ac:dyDescent="0.25">
      <c r="A9" t="s">
        <v>22</v>
      </c>
      <c r="B9" s="10" t="s">
        <v>23</v>
      </c>
      <c r="C9" s="1">
        <v>542</v>
      </c>
      <c r="D9" s="2">
        <v>1.23</v>
      </c>
      <c r="E9" s="6">
        <v>232.74</v>
      </c>
      <c r="F9" s="2">
        <f t="shared" si="0"/>
        <v>1.2801204819277108</v>
      </c>
      <c r="G9" s="3">
        <v>0.77</v>
      </c>
      <c r="H9" s="5">
        <v>165.3</v>
      </c>
      <c r="I9" s="2">
        <f t="shared" si="1"/>
        <v>0.78413284132841332</v>
      </c>
      <c r="J9" s="2">
        <f t="shared" si="2"/>
        <v>0.3081180811808118</v>
      </c>
      <c r="K9" s="2">
        <f t="shared" si="3"/>
        <v>8.8560885608856083E-2</v>
      </c>
      <c r="L9" s="2">
        <f t="shared" si="4"/>
        <v>5.1660516605166053E-2</v>
      </c>
      <c r="M9" s="3">
        <v>0.22</v>
      </c>
      <c r="N9" s="11">
        <f t="shared" si="5"/>
        <v>1.107011070110701E-2</v>
      </c>
      <c r="O9" s="1">
        <v>6</v>
      </c>
      <c r="P9" s="1">
        <v>27</v>
      </c>
      <c r="Q9" s="1">
        <v>425</v>
      </c>
      <c r="R9" s="1">
        <v>332</v>
      </c>
      <c r="S9" s="1">
        <v>167</v>
      </c>
      <c r="T9" s="1">
        <v>48</v>
      </c>
      <c r="U9" s="12">
        <v>28</v>
      </c>
      <c r="V9" s="23" t="s">
        <v>24</v>
      </c>
    </row>
    <row r="10" spans="1:22" x14ac:dyDescent="0.25">
      <c r="A10" t="s">
        <v>35</v>
      </c>
      <c r="B10" s="10" t="s">
        <v>36</v>
      </c>
      <c r="C10" s="1">
        <v>568</v>
      </c>
      <c r="D10" s="2">
        <v>1.19</v>
      </c>
      <c r="E10" s="6">
        <v>246.4</v>
      </c>
      <c r="F10" s="2">
        <f t="shared" si="0"/>
        <v>1.2706185567010309</v>
      </c>
      <c r="G10" s="3">
        <v>0.76</v>
      </c>
      <c r="H10" s="5">
        <v>161.65</v>
      </c>
      <c r="I10" s="2">
        <f t="shared" si="1"/>
        <v>0.86795774647887325</v>
      </c>
      <c r="J10" s="2">
        <f t="shared" si="2"/>
        <v>0.24471830985915494</v>
      </c>
      <c r="K10" s="2">
        <f t="shared" si="3"/>
        <v>0.16021126760563381</v>
      </c>
      <c r="L10" s="2">
        <f t="shared" si="4"/>
        <v>0.14964788732394366</v>
      </c>
      <c r="M10" s="3">
        <v>0.3</v>
      </c>
      <c r="N10" s="11">
        <f t="shared" si="5"/>
        <v>7.0422535211267607E-3</v>
      </c>
      <c r="O10" s="1">
        <v>4</v>
      </c>
      <c r="P10" s="1">
        <v>39</v>
      </c>
      <c r="Q10" s="1">
        <v>493</v>
      </c>
      <c r="R10" s="1">
        <v>388</v>
      </c>
      <c r="S10" s="1">
        <v>139</v>
      </c>
      <c r="T10" s="1">
        <v>91</v>
      </c>
      <c r="U10" s="12">
        <v>85</v>
      </c>
      <c r="V10" s="23" t="s">
        <v>24</v>
      </c>
    </row>
    <row r="11" spans="1:22" x14ac:dyDescent="0.25">
      <c r="A11" t="s">
        <v>91</v>
      </c>
      <c r="B11" s="10" t="s">
        <v>31</v>
      </c>
      <c r="C11" s="1">
        <v>160</v>
      </c>
      <c r="D11" s="2">
        <v>1.17</v>
      </c>
      <c r="E11" s="6">
        <v>231.34</v>
      </c>
      <c r="F11" s="2">
        <f t="shared" si="0"/>
        <v>1.2761904761904761</v>
      </c>
      <c r="G11" s="3">
        <v>0.76</v>
      </c>
      <c r="H11" s="5">
        <v>146.47</v>
      </c>
      <c r="I11" s="2">
        <f t="shared" si="1"/>
        <v>0.83750000000000002</v>
      </c>
      <c r="J11" s="2">
        <f t="shared" si="2"/>
        <v>0.28125</v>
      </c>
      <c r="K11" s="2">
        <f t="shared" si="3"/>
        <v>0.1125</v>
      </c>
      <c r="L11" s="2">
        <f t="shared" si="4"/>
        <v>8.7499999999999994E-2</v>
      </c>
      <c r="M11" s="3">
        <v>0.19</v>
      </c>
      <c r="N11" s="11">
        <f t="shared" si="5"/>
        <v>1.8749999999999999E-2</v>
      </c>
      <c r="O11" s="7">
        <v>3</v>
      </c>
      <c r="P11" s="1">
        <v>25</v>
      </c>
      <c r="Q11" s="1">
        <v>134</v>
      </c>
      <c r="R11" s="1">
        <v>105</v>
      </c>
      <c r="S11" s="1">
        <v>45</v>
      </c>
      <c r="T11" s="1">
        <v>18</v>
      </c>
      <c r="U11" s="12">
        <v>14</v>
      </c>
      <c r="V11" s="23" t="s">
        <v>24</v>
      </c>
    </row>
    <row r="12" spans="1:22" x14ac:dyDescent="0.25">
      <c r="A12" t="s">
        <v>38</v>
      </c>
      <c r="B12" s="10" t="s">
        <v>26</v>
      </c>
      <c r="C12" s="1">
        <v>476</v>
      </c>
      <c r="D12" s="2">
        <v>1.1599999999999999</v>
      </c>
      <c r="E12" s="6">
        <v>240.96</v>
      </c>
      <c r="F12" s="2">
        <f t="shared" si="0"/>
        <v>1.2201834862385321</v>
      </c>
      <c r="G12" s="3">
        <v>0.74</v>
      </c>
      <c r="H12" s="5">
        <v>157.55000000000001</v>
      </c>
      <c r="I12" s="2">
        <f t="shared" si="1"/>
        <v>0.83823529411764708</v>
      </c>
      <c r="J12" s="2">
        <f t="shared" si="2"/>
        <v>0.27941176470588236</v>
      </c>
      <c r="K12" s="2">
        <f t="shared" si="3"/>
        <v>0.14705882352941177</v>
      </c>
      <c r="L12" s="2">
        <f t="shared" si="4"/>
        <v>9.0336134453781511E-2</v>
      </c>
      <c r="M12" s="3">
        <v>0.2</v>
      </c>
      <c r="N12" s="11">
        <f t="shared" si="5"/>
        <v>1.2605042016806723E-2</v>
      </c>
      <c r="O12" s="1">
        <v>6</v>
      </c>
      <c r="P12" s="1">
        <v>28</v>
      </c>
      <c r="Q12" s="1">
        <v>399</v>
      </c>
      <c r="R12" s="1">
        <v>327</v>
      </c>
      <c r="S12" s="1">
        <v>133</v>
      </c>
      <c r="T12" s="1">
        <v>70</v>
      </c>
      <c r="U12" s="12">
        <v>43</v>
      </c>
      <c r="V12" s="23" t="s">
        <v>24</v>
      </c>
    </row>
    <row r="13" spans="1:22" x14ac:dyDescent="0.25">
      <c r="A13" t="s">
        <v>40</v>
      </c>
      <c r="B13" s="10" t="s">
        <v>41</v>
      </c>
      <c r="C13" s="1">
        <v>567</v>
      </c>
      <c r="D13" s="2">
        <v>1.1499999999999999</v>
      </c>
      <c r="E13" s="6">
        <v>250.9</v>
      </c>
      <c r="F13" s="2">
        <f t="shared" si="0"/>
        <v>1.1769041769041768</v>
      </c>
      <c r="G13" s="3">
        <v>0.73</v>
      </c>
      <c r="H13" s="5">
        <v>162.25</v>
      </c>
      <c r="I13" s="2">
        <f t="shared" si="1"/>
        <v>0.84479717813051147</v>
      </c>
      <c r="J13" s="2">
        <f t="shared" si="2"/>
        <v>0.32098765432098764</v>
      </c>
      <c r="K13" s="2">
        <f t="shared" si="3"/>
        <v>0.17813051146384479</v>
      </c>
      <c r="L13" s="2">
        <f t="shared" si="4"/>
        <v>0.12522045855379188</v>
      </c>
      <c r="M13" s="3">
        <v>0.22</v>
      </c>
      <c r="N13" s="11">
        <f t="shared" si="5"/>
        <v>3.5273368606701938E-3</v>
      </c>
      <c r="O13" s="1">
        <v>2</v>
      </c>
      <c r="P13" s="1">
        <v>27</v>
      </c>
      <c r="Q13" s="1">
        <v>479</v>
      </c>
      <c r="R13" s="1">
        <v>407</v>
      </c>
      <c r="S13" s="1">
        <v>182</v>
      </c>
      <c r="T13" s="1">
        <v>101</v>
      </c>
      <c r="U13" s="12">
        <v>71</v>
      </c>
      <c r="V13" s="23" t="s">
        <v>24</v>
      </c>
    </row>
    <row r="14" spans="1:22" x14ac:dyDescent="0.25">
      <c r="A14" t="s">
        <v>74</v>
      </c>
      <c r="B14" s="10" t="s">
        <v>31</v>
      </c>
      <c r="C14" s="1">
        <v>598</v>
      </c>
      <c r="D14" s="2">
        <v>1.1299999999999999</v>
      </c>
      <c r="E14" s="6">
        <v>249.89</v>
      </c>
      <c r="F14" s="2">
        <f t="shared" si="0"/>
        <v>1.1736111111111112</v>
      </c>
      <c r="G14" s="3">
        <v>0.73</v>
      </c>
      <c r="H14" s="5">
        <v>160.27000000000001</v>
      </c>
      <c r="I14" s="2">
        <f t="shared" si="1"/>
        <v>0.84782608695652173</v>
      </c>
      <c r="J14" s="2">
        <f t="shared" si="2"/>
        <v>0.2608695652173913</v>
      </c>
      <c r="K14" s="2">
        <f t="shared" si="3"/>
        <v>0.16387959866220736</v>
      </c>
      <c r="L14" s="2">
        <f t="shared" si="4"/>
        <v>0.12374581939799331</v>
      </c>
      <c r="M14" s="3">
        <v>0.19</v>
      </c>
      <c r="N14" s="11">
        <f t="shared" si="5"/>
        <v>8.3612040133779261E-3</v>
      </c>
      <c r="O14" s="1">
        <v>5</v>
      </c>
      <c r="P14" s="1">
        <v>32</v>
      </c>
      <c r="Q14" s="1">
        <v>507</v>
      </c>
      <c r="R14" s="1">
        <v>432</v>
      </c>
      <c r="S14" s="1">
        <v>156</v>
      </c>
      <c r="T14" s="1">
        <v>98</v>
      </c>
      <c r="U14" s="12">
        <v>74</v>
      </c>
      <c r="V14" s="23" t="s">
        <v>24</v>
      </c>
    </row>
    <row r="15" spans="1:22" x14ac:dyDescent="0.25">
      <c r="A15" t="s">
        <v>33</v>
      </c>
      <c r="B15" s="10" t="s">
        <v>26</v>
      </c>
      <c r="C15" s="1">
        <v>618</v>
      </c>
      <c r="D15" s="2">
        <v>1.1299999999999999</v>
      </c>
      <c r="E15" s="6">
        <v>216.93</v>
      </c>
      <c r="F15" s="2">
        <f t="shared" si="0"/>
        <v>1.1856435643564356</v>
      </c>
      <c r="G15" s="3">
        <v>0.75</v>
      </c>
      <c r="H15" s="5">
        <v>139.24</v>
      </c>
      <c r="I15" s="2">
        <f t="shared" si="1"/>
        <v>0.77508090614886727</v>
      </c>
      <c r="J15" s="2">
        <f t="shared" si="2"/>
        <v>0.33980582524271846</v>
      </c>
      <c r="K15" s="2">
        <f t="shared" si="3"/>
        <v>6.4724919093851127E-2</v>
      </c>
      <c r="L15" s="2">
        <f t="shared" si="4"/>
        <v>4.2071197411003236E-2</v>
      </c>
      <c r="M15" s="3">
        <v>0.27</v>
      </c>
      <c r="N15" s="11">
        <f t="shared" si="5"/>
        <v>1.7799352750809062E-2</v>
      </c>
      <c r="O15" s="1">
        <v>11</v>
      </c>
      <c r="P15" s="1">
        <v>24</v>
      </c>
      <c r="Q15" s="1">
        <v>479</v>
      </c>
      <c r="R15" s="1">
        <v>404</v>
      </c>
      <c r="S15" s="1">
        <v>210</v>
      </c>
      <c r="T15" s="1">
        <v>40</v>
      </c>
      <c r="U15" s="12">
        <v>26</v>
      </c>
      <c r="V15" s="23" t="s">
        <v>24</v>
      </c>
    </row>
    <row r="16" spans="1:22" x14ac:dyDescent="0.25">
      <c r="A16" t="s">
        <v>43</v>
      </c>
      <c r="B16" s="10" t="s">
        <v>31</v>
      </c>
      <c r="C16" s="1">
        <v>459</v>
      </c>
      <c r="D16" s="2">
        <v>1.1200000000000001</v>
      </c>
      <c r="E16" s="6">
        <v>233.13</v>
      </c>
      <c r="F16" s="2">
        <f t="shared" si="0"/>
        <v>1.2208201892744479</v>
      </c>
      <c r="G16" s="3">
        <v>0.73</v>
      </c>
      <c r="H16" s="5">
        <v>152.16</v>
      </c>
      <c r="I16" s="2">
        <f t="shared" si="1"/>
        <v>0.84313725490196079</v>
      </c>
      <c r="J16" s="2">
        <f t="shared" si="2"/>
        <v>0.16993464052287582</v>
      </c>
      <c r="K16" s="2">
        <f t="shared" si="3"/>
        <v>0.12200435729847495</v>
      </c>
      <c r="L16" s="2">
        <f t="shared" si="4"/>
        <v>8.4967320261437912E-2</v>
      </c>
      <c r="M16" s="3">
        <v>0.3</v>
      </c>
      <c r="N16" s="11">
        <f t="shared" si="5"/>
        <v>1.7429193899782137E-2</v>
      </c>
      <c r="O16" s="1">
        <v>8</v>
      </c>
      <c r="P16" s="1">
        <v>31</v>
      </c>
      <c r="Q16" s="1">
        <v>387</v>
      </c>
      <c r="R16" s="1">
        <v>317</v>
      </c>
      <c r="S16" s="1">
        <v>78</v>
      </c>
      <c r="T16" s="1">
        <v>56</v>
      </c>
      <c r="U16" s="12">
        <v>39</v>
      </c>
      <c r="V16" s="23" t="s">
        <v>24</v>
      </c>
    </row>
    <row r="17" spans="1:22" x14ac:dyDescent="0.25">
      <c r="A17" t="s">
        <v>104</v>
      </c>
      <c r="B17" s="10" t="s">
        <v>105</v>
      </c>
      <c r="C17" s="1">
        <v>490</v>
      </c>
      <c r="D17" s="2">
        <v>1.1000000000000001</v>
      </c>
      <c r="E17" s="6">
        <v>253.89</v>
      </c>
      <c r="F17" s="2">
        <f t="shared" si="0"/>
        <v>1.1293800539083558</v>
      </c>
      <c r="G17" s="3">
        <v>0.69</v>
      </c>
      <c r="H17" s="5">
        <v>163.26</v>
      </c>
      <c r="I17" s="2">
        <f t="shared" si="1"/>
        <v>0.85510204081632657</v>
      </c>
      <c r="J17" s="2">
        <f t="shared" si="2"/>
        <v>0.24285714285714285</v>
      </c>
      <c r="K17" s="2">
        <f t="shared" si="3"/>
        <v>0.18979591836734694</v>
      </c>
      <c r="L17" s="2">
        <f t="shared" si="4"/>
        <v>0.13469387755102041</v>
      </c>
      <c r="M17" s="3">
        <v>0.25</v>
      </c>
      <c r="N17" s="11">
        <f t="shared" si="5"/>
        <v>4.0816326530612249E-3</v>
      </c>
      <c r="O17" s="1">
        <v>2</v>
      </c>
      <c r="P17" s="1">
        <v>32</v>
      </c>
      <c r="Q17" s="1">
        <v>419</v>
      </c>
      <c r="R17" s="1">
        <v>371</v>
      </c>
      <c r="S17" s="1">
        <v>119</v>
      </c>
      <c r="T17" s="1">
        <v>93</v>
      </c>
      <c r="U17" s="12">
        <v>66</v>
      </c>
      <c r="V17" s="23" t="s">
        <v>24</v>
      </c>
    </row>
    <row r="18" spans="1:22" x14ac:dyDescent="0.25">
      <c r="A18" t="s">
        <v>116</v>
      </c>
      <c r="B18" s="10" t="s">
        <v>115</v>
      </c>
      <c r="C18" s="1">
        <v>281</v>
      </c>
      <c r="D18" s="2">
        <v>1.0900000000000001</v>
      </c>
      <c r="E18" s="6">
        <v>223</v>
      </c>
      <c r="F18" s="2">
        <f t="shared" si="0"/>
        <v>1.0923076923076922</v>
      </c>
      <c r="G18" s="3">
        <v>0.74</v>
      </c>
      <c r="H18" s="5">
        <v>147.66999999999999</v>
      </c>
      <c r="I18" s="2">
        <f t="shared" si="1"/>
        <v>0.75800711743772242</v>
      </c>
      <c r="J18" s="2">
        <f t="shared" si="2"/>
        <v>0.27402135231316727</v>
      </c>
      <c r="K18" s="2">
        <f t="shared" si="3"/>
        <v>0.13167259786476868</v>
      </c>
      <c r="L18" s="2">
        <f t="shared" si="4"/>
        <v>0.14590747330960854</v>
      </c>
      <c r="M18" s="3">
        <v>0.22</v>
      </c>
      <c r="N18" s="11">
        <f t="shared" si="5"/>
        <v>1.4234875444839857E-2</v>
      </c>
      <c r="O18" s="1">
        <v>4</v>
      </c>
      <c r="P18" s="1">
        <v>25</v>
      </c>
      <c r="Q18" s="1">
        <v>213</v>
      </c>
      <c r="R18" s="1">
        <v>195</v>
      </c>
      <c r="S18" s="1">
        <v>77</v>
      </c>
      <c r="T18" s="1">
        <v>37</v>
      </c>
      <c r="U18" s="12">
        <v>41</v>
      </c>
      <c r="V18" s="23" t="s">
        <v>24</v>
      </c>
    </row>
    <row r="19" spans="1:22" x14ac:dyDescent="0.25">
      <c r="A19" t="s">
        <v>58</v>
      </c>
      <c r="B19" s="10" t="s">
        <v>31</v>
      </c>
      <c r="C19" s="1">
        <v>597</v>
      </c>
      <c r="D19" s="2">
        <v>1.08</v>
      </c>
      <c r="E19" s="6">
        <v>221.41</v>
      </c>
      <c r="F19" s="2">
        <f t="shared" si="0"/>
        <v>1.0954653937947494</v>
      </c>
      <c r="G19" s="3">
        <v>0.74</v>
      </c>
      <c r="H19" s="5">
        <v>139.31</v>
      </c>
      <c r="I19" s="2">
        <f t="shared" si="1"/>
        <v>0.76884422110552764</v>
      </c>
      <c r="J19" s="2">
        <f t="shared" si="2"/>
        <v>0.32663316582914576</v>
      </c>
      <c r="K19" s="2">
        <f t="shared" si="3"/>
        <v>0.10217755443886097</v>
      </c>
      <c r="L19" s="2">
        <f t="shared" si="4"/>
        <v>0.10552763819095477</v>
      </c>
      <c r="M19" s="3">
        <v>0.16</v>
      </c>
      <c r="N19" s="11">
        <f t="shared" si="5"/>
        <v>8.3752093802345051E-3</v>
      </c>
      <c r="O19" s="1">
        <v>5</v>
      </c>
      <c r="P19" s="1">
        <v>32</v>
      </c>
      <c r="Q19" s="1">
        <v>459</v>
      </c>
      <c r="R19" s="1">
        <v>419</v>
      </c>
      <c r="S19" s="1">
        <v>195</v>
      </c>
      <c r="T19" s="1">
        <v>61</v>
      </c>
      <c r="U19" s="12">
        <v>63</v>
      </c>
      <c r="V19" s="23" t="s">
        <v>24</v>
      </c>
    </row>
    <row r="20" spans="1:22" x14ac:dyDescent="0.25">
      <c r="A20" t="s">
        <v>109</v>
      </c>
      <c r="B20" s="10" t="s">
        <v>105</v>
      </c>
      <c r="C20" s="1">
        <v>492</v>
      </c>
      <c r="D20" s="2">
        <v>1.08</v>
      </c>
      <c r="E20" s="6">
        <v>219.91</v>
      </c>
      <c r="F20" s="2">
        <f t="shared" si="0"/>
        <v>1.1005747126436782</v>
      </c>
      <c r="G20" s="3">
        <v>0.73</v>
      </c>
      <c r="H20" s="5">
        <v>147.08000000000001</v>
      </c>
      <c r="I20" s="2">
        <f t="shared" si="1"/>
        <v>0.77845528455284552</v>
      </c>
      <c r="J20" s="2">
        <f t="shared" si="2"/>
        <v>0.258130081300813</v>
      </c>
      <c r="K20" s="2">
        <f t="shared" si="3"/>
        <v>0.10365853658536585</v>
      </c>
      <c r="L20" s="2">
        <f t="shared" si="4"/>
        <v>0.10569105691056911</v>
      </c>
      <c r="M20" s="3">
        <v>0.23</v>
      </c>
      <c r="N20" s="11">
        <f t="shared" si="5"/>
        <v>1.2195121951219513E-2</v>
      </c>
      <c r="O20" s="1">
        <v>6</v>
      </c>
      <c r="P20" s="1">
        <v>26</v>
      </c>
      <c r="Q20" s="1">
        <v>383</v>
      </c>
      <c r="R20" s="1">
        <v>348</v>
      </c>
      <c r="S20" s="1">
        <v>127</v>
      </c>
      <c r="T20" s="1">
        <v>51</v>
      </c>
      <c r="U20" s="12">
        <v>52</v>
      </c>
      <c r="V20" s="23" t="s">
        <v>24</v>
      </c>
    </row>
    <row r="21" spans="1:22" x14ac:dyDescent="0.25">
      <c r="A21" t="s">
        <v>45</v>
      </c>
      <c r="B21" s="10" t="s">
        <v>46</v>
      </c>
      <c r="C21" s="1">
        <v>528</v>
      </c>
      <c r="D21" s="2">
        <v>1.08</v>
      </c>
      <c r="E21" s="6">
        <v>211.23</v>
      </c>
      <c r="F21" s="2">
        <f t="shared" si="0"/>
        <v>1.2127659574468086</v>
      </c>
      <c r="G21" s="3">
        <v>0.7</v>
      </c>
      <c r="H21" s="5">
        <v>139.69999999999999</v>
      </c>
      <c r="I21" s="2">
        <f t="shared" si="1"/>
        <v>0.75568181818181823</v>
      </c>
      <c r="J21" s="2">
        <f t="shared" si="2"/>
        <v>0.13825757575757575</v>
      </c>
      <c r="K21" s="2">
        <f t="shared" si="3"/>
        <v>0.13825757575757575</v>
      </c>
      <c r="L21" s="2">
        <f t="shared" si="4"/>
        <v>6.4393939393939392E-2</v>
      </c>
      <c r="M21" s="3">
        <v>0.27</v>
      </c>
      <c r="N21" s="11">
        <f t="shared" si="5"/>
        <v>9.46969696969697E-3</v>
      </c>
      <c r="O21" s="1">
        <v>5</v>
      </c>
      <c r="P21" s="1">
        <v>27</v>
      </c>
      <c r="Q21" s="1">
        <v>399</v>
      </c>
      <c r="R21" s="1">
        <v>329</v>
      </c>
      <c r="S21" s="1">
        <v>73</v>
      </c>
      <c r="T21" s="1">
        <v>73</v>
      </c>
      <c r="U21" s="12">
        <v>34</v>
      </c>
      <c r="V21" s="23" t="s">
        <v>24</v>
      </c>
    </row>
    <row r="22" spans="1:22" x14ac:dyDescent="0.25">
      <c r="A22" t="s">
        <v>72</v>
      </c>
      <c r="B22" s="10" t="s">
        <v>36</v>
      </c>
      <c r="C22" s="1">
        <v>568</v>
      </c>
      <c r="D22" s="2">
        <v>1.08</v>
      </c>
      <c r="E22" s="6">
        <v>208.13</v>
      </c>
      <c r="F22" s="2">
        <f t="shared" si="0"/>
        <v>1.0976863753213368</v>
      </c>
      <c r="G22" s="3">
        <v>0.76</v>
      </c>
      <c r="H22" s="5">
        <v>137.31</v>
      </c>
      <c r="I22" s="2">
        <f t="shared" si="1"/>
        <v>0.75176056338028174</v>
      </c>
      <c r="J22" s="2">
        <f t="shared" si="2"/>
        <v>0.32570422535211269</v>
      </c>
      <c r="K22" s="2">
        <f t="shared" si="3"/>
        <v>8.8028169014084501E-2</v>
      </c>
      <c r="L22" s="2">
        <f t="shared" si="4"/>
        <v>8.098591549295775E-2</v>
      </c>
      <c r="M22" s="3">
        <v>0.3</v>
      </c>
      <c r="N22" s="11">
        <f t="shared" si="5"/>
        <v>1.0563380281690141E-2</v>
      </c>
      <c r="O22" s="1">
        <v>6</v>
      </c>
      <c r="P22" s="1">
        <v>26</v>
      </c>
      <c r="Q22" s="1">
        <v>427</v>
      </c>
      <c r="R22" s="1">
        <v>389</v>
      </c>
      <c r="S22" s="1">
        <v>185</v>
      </c>
      <c r="T22" s="1">
        <v>50</v>
      </c>
      <c r="U22" s="12">
        <v>46</v>
      </c>
      <c r="V22" s="23" t="s">
        <v>24</v>
      </c>
    </row>
    <row r="23" spans="1:22" x14ac:dyDescent="0.25">
      <c r="A23" t="s">
        <v>102</v>
      </c>
      <c r="B23" s="10" t="s">
        <v>99</v>
      </c>
      <c r="C23" s="1">
        <v>484</v>
      </c>
      <c r="D23" s="2">
        <v>1.07</v>
      </c>
      <c r="E23" s="6">
        <v>230.68</v>
      </c>
      <c r="F23" s="2">
        <f t="shared" si="0"/>
        <v>1.0847457627118644</v>
      </c>
      <c r="G23" s="3">
        <v>0.72</v>
      </c>
      <c r="H23" s="5">
        <v>148.54</v>
      </c>
      <c r="I23" s="2">
        <f t="shared" si="1"/>
        <v>0.79338842975206614</v>
      </c>
      <c r="J23" s="2">
        <f t="shared" si="2"/>
        <v>0.28719008264462809</v>
      </c>
      <c r="K23" s="2">
        <f t="shared" si="3"/>
        <v>7.43801652892562E-2</v>
      </c>
      <c r="L23" s="2">
        <f t="shared" si="4"/>
        <v>6.1983471074380167E-2</v>
      </c>
      <c r="M23" s="3">
        <v>0.25</v>
      </c>
      <c r="N23" s="11">
        <f t="shared" si="5"/>
        <v>1.6528925619834711E-2</v>
      </c>
      <c r="O23" s="1">
        <v>8</v>
      </c>
      <c r="P23" s="1">
        <v>30</v>
      </c>
      <c r="Q23" s="1">
        <v>384</v>
      </c>
      <c r="R23" s="1">
        <v>354</v>
      </c>
      <c r="S23" s="1">
        <v>139</v>
      </c>
      <c r="T23" s="1">
        <v>36</v>
      </c>
      <c r="U23" s="12">
        <v>30</v>
      </c>
      <c r="V23" s="23" t="s">
        <v>24</v>
      </c>
    </row>
    <row r="24" spans="1:22" x14ac:dyDescent="0.25">
      <c r="A24" t="s">
        <v>54</v>
      </c>
      <c r="B24" s="10" t="s">
        <v>36</v>
      </c>
      <c r="C24" s="1">
        <v>609</v>
      </c>
      <c r="D24" s="2">
        <v>1.06</v>
      </c>
      <c r="E24" s="6">
        <v>216.78</v>
      </c>
      <c r="F24" s="2">
        <f t="shared" si="0"/>
        <v>1.0771028037383177</v>
      </c>
      <c r="G24" s="3">
        <v>0.74</v>
      </c>
      <c r="H24" s="5">
        <v>142.91</v>
      </c>
      <c r="I24" s="2">
        <f t="shared" si="1"/>
        <v>0.75697865353037763</v>
      </c>
      <c r="J24" s="2">
        <f t="shared" si="2"/>
        <v>0.2594417077175698</v>
      </c>
      <c r="K24" s="2">
        <f t="shared" si="3"/>
        <v>0.11001642036124795</v>
      </c>
      <c r="L24" s="2">
        <f t="shared" si="4"/>
        <v>0.10344827586206896</v>
      </c>
      <c r="M24" s="3">
        <v>0.27</v>
      </c>
      <c r="N24" s="11">
        <f t="shared" si="5"/>
        <v>8.2101806239737278E-3</v>
      </c>
      <c r="O24" s="1">
        <v>5</v>
      </c>
      <c r="P24" s="1">
        <v>29</v>
      </c>
      <c r="Q24" s="1">
        <v>461</v>
      </c>
      <c r="R24" s="1">
        <v>428</v>
      </c>
      <c r="S24" s="1">
        <v>158</v>
      </c>
      <c r="T24" s="1">
        <v>67</v>
      </c>
      <c r="U24" s="12">
        <v>63</v>
      </c>
      <c r="V24" s="23" t="s">
        <v>24</v>
      </c>
    </row>
    <row r="25" spans="1:22" x14ac:dyDescent="0.25">
      <c r="A25" t="s">
        <v>67</v>
      </c>
      <c r="B25" s="10" t="s">
        <v>36</v>
      </c>
      <c r="C25" s="1">
        <v>568</v>
      </c>
      <c r="D25" s="2">
        <v>1.06</v>
      </c>
      <c r="E25" s="6">
        <v>213.2</v>
      </c>
      <c r="F25" s="2">
        <f t="shared" si="0"/>
        <v>1.047979797979798</v>
      </c>
      <c r="G25" s="3">
        <v>0.74</v>
      </c>
      <c r="H25" s="5">
        <v>141.44</v>
      </c>
      <c r="I25" s="2">
        <f t="shared" si="1"/>
        <v>0.73063380281690138</v>
      </c>
      <c r="J25" s="2">
        <f t="shared" si="2"/>
        <v>0.32746478873239437</v>
      </c>
      <c r="K25" s="2">
        <f t="shared" si="3"/>
        <v>9.5070422535211266E-2</v>
      </c>
      <c r="L25" s="2">
        <f t="shared" si="4"/>
        <v>9.6830985915492954E-2</v>
      </c>
      <c r="M25" s="3">
        <v>0.18</v>
      </c>
      <c r="N25" s="11">
        <f t="shared" si="5"/>
        <v>5.2816901408450703E-3</v>
      </c>
      <c r="O25" s="1">
        <v>3</v>
      </c>
      <c r="P25" s="1">
        <v>27</v>
      </c>
      <c r="Q25" s="1">
        <v>415</v>
      </c>
      <c r="R25" s="1">
        <v>396</v>
      </c>
      <c r="S25" s="1">
        <v>186</v>
      </c>
      <c r="T25" s="1">
        <v>54</v>
      </c>
      <c r="U25" s="12">
        <v>55</v>
      </c>
      <c r="V25" s="23" t="s">
        <v>24</v>
      </c>
    </row>
    <row r="26" spans="1:22" x14ac:dyDescent="0.25">
      <c r="A26" t="s">
        <v>92</v>
      </c>
      <c r="B26" s="10" t="s">
        <v>93</v>
      </c>
      <c r="C26" s="1">
        <v>608</v>
      </c>
      <c r="D26" s="2">
        <v>1.05</v>
      </c>
      <c r="E26" s="6">
        <v>215.85</v>
      </c>
      <c r="F26" s="2">
        <f t="shared" si="0"/>
        <v>1.0756880733944953</v>
      </c>
      <c r="G26" s="3">
        <v>0.73</v>
      </c>
      <c r="H26" s="5">
        <v>139.76</v>
      </c>
      <c r="I26" s="2">
        <f t="shared" si="1"/>
        <v>0.77138157894736847</v>
      </c>
      <c r="J26" s="2">
        <f t="shared" si="2"/>
        <v>0.29111842105263158</v>
      </c>
      <c r="K26" s="2">
        <f t="shared" si="3"/>
        <v>9.375E-2</v>
      </c>
      <c r="L26" s="2">
        <f t="shared" si="4"/>
        <v>8.8815789473684209E-2</v>
      </c>
      <c r="M26" s="3">
        <v>0.23</v>
      </c>
      <c r="N26" s="11">
        <f t="shared" si="5"/>
        <v>1.4802631578947368E-2</v>
      </c>
      <c r="O26" s="1">
        <v>9</v>
      </c>
      <c r="P26" s="1">
        <v>26</v>
      </c>
      <c r="Q26" s="1">
        <v>469</v>
      </c>
      <c r="R26" s="1">
        <v>436</v>
      </c>
      <c r="S26" s="1">
        <v>177</v>
      </c>
      <c r="T26" s="1">
        <v>57</v>
      </c>
      <c r="U26" s="12">
        <v>54</v>
      </c>
      <c r="V26" s="23" t="s">
        <v>24</v>
      </c>
    </row>
    <row r="27" spans="1:22" x14ac:dyDescent="0.25">
      <c r="A27" t="s">
        <v>49</v>
      </c>
      <c r="B27" s="10" t="s">
        <v>26</v>
      </c>
      <c r="C27" s="1">
        <v>574</v>
      </c>
      <c r="D27" s="2">
        <v>1.04</v>
      </c>
      <c r="E27" s="6">
        <v>198.51</v>
      </c>
      <c r="F27" s="2">
        <f t="shared" si="0"/>
        <v>1.0256410256410255</v>
      </c>
      <c r="G27" s="3">
        <v>0.75</v>
      </c>
      <c r="H27" s="5">
        <v>124.32</v>
      </c>
      <c r="I27" s="2">
        <f t="shared" si="1"/>
        <v>0.69686411149825789</v>
      </c>
      <c r="J27" s="2">
        <f t="shared" si="2"/>
        <v>0.38850174216027872</v>
      </c>
      <c r="K27" s="2">
        <f t="shared" si="3"/>
        <v>0.10801393728222997</v>
      </c>
      <c r="L27" s="2">
        <f t="shared" si="4"/>
        <v>0.12543554006968641</v>
      </c>
      <c r="M27" s="3">
        <v>0.18</v>
      </c>
      <c r="N27" s="11">
        <f t="shared" si="5"/>
        <v>1.0452961672473868E-2</v>
      </c>
      <c r="O27" s="1">
        <v>6</v>
      </c>
      <c r="P27" s="1">
        <v>21</v>
      </c>
      <c r="Q27" s="1">
        <v>400</v>
      </c>
      <c r="R27" s="1">
        <v>390</v>
      </c>
      <c r="S27" s="1">
        <v>223</v>
      </c>
      <c r="T27" s="1">
        <v>62</v>
      </c>
      <c r="U27" s="12">
        <v>72</v>
      </c>
      <c r="V27" s="23" t="s">
        <v>24</v>
      </c>
    </row>
    <row r="28" spans="1:22" x14ac:dyDescent="0.25">
      <c r="A28" t="s">
        <v>50</v>
      </c>
      <c r="B28" s="10" t="s">
        <v>41</v>
      </c>
      <c r="C28" s="1">
        <v>527</v>
      </c>
      <c r="D28" s="2">
        <v>1.04</v>
      </c>
      <c r="E28" s="6">
        <v>197.72</v>
      </c>
      <c r="F28" s="2">
        <f t="shared" si="0"/>
        <v>1.0977011494252873</v>
      </c>
      <c r="G28" s="3">
        <v>0.72</v>
      </c>
      <c r="H28" s="5">
        <v>129.49</v>
      </c>
      <c r="I28" s="2">
        <f t="shared" si="1"/>
        <v>0.72485768500948766</v>
      </c>
      <c r="J28" s="2">
        <f t="shared" si="2"/>
        <v>0.27893738140417457</v>
      </c>
      <c r="K28" s="2">
        <f t="shared" si="3"/>
        <v>6.8311195445920306E-2</v>
      </c>
      <c r="L28" s="2">
        <f t="shared" si="4"/>
        <v>7.9696394686907021E-2</v>
      </c>
      <c r="M28" s="3">
        <v>0.21</v>
      </c>
      <c r="N28" s="11">
        <f t="shared" si="5"/>
        <v>1.8975332068311195E-2</v>
      </c>
      <c r="O28" s="1">
        <v>10</v>
      </c>
      <c r="P28" s="1">
        <v>26</v>
      </c>
      <c r="Q28" s="1">
        <v>382</v>
      </c>
      <c r="R28" s="1">
        <v>348</v>
      </c>
      <c r="S28" s="1">
        <v>147</v>
      </c>
      <c r="T28" s="1">
        <v>36</v>
      </c>
      <c r="U28" s="12">
        <v>42</v>
      </c>
      <c r="V28" s="23" t="s">
        <v>24</v>
      </c>
    </row>
    <row r="29" spans="1:22" x14ac:dyDescent="0.25">
      <c r="A29" t="s">
        <v>96</v>
      </c>
      <c r="B29" s="10" t="s">
        <v>93</v>
      </c>
      <c r="C29" s="1">
        <v>653</v>
      </c>
      <c r="D29" s="2">
        <v>1.03</v>
      </c>
      <c r="E29" s="6">
        <v>224.45</v>
      </c>
      <c r="F29" s="2">
        <f t="shared" si="0"/>
        <v>1.0159680638722555</v>
      </c>
      <c r="G29" s="3">
        <v>0.74</v>
      </c>
      <c r="H29" s="5">
        <v>143.94999999999999</v>
      </c>
      <c r="I29" s="2">
        <f t="shared" si="1"/>
        <v>0.77947932618683002</v>
      </c>
      <c r="J29" s="2">
        <f t="shared" si="2"/>
        <v>0.31240428790199082</v>
      </c>
      <c r="K29" s="2">
        <f t="shared" si="3"/>
        <v>0.11026033690658499</v>
      </c>
      <c r="L29" s="2">
        <f t="shared" si="4"/>
        <v>0.11944869831546708</v>
      </c>
      <c r="M29" s="3">
        <v>0.28999999999999998</v>
      </c>
      <c r="N29" s="11">
        <f t="shared" si="5"/>
        <v>1.2251148545176111E-2</v>
      </c>
      <c r="O29" s="1">
        <v>8</v>
      </c>
      <c r="P29" s="1">
        <v>28</v>
      </c>
      <c r="Q29" s="1">
        <v>509</v>
      </c>
      <c r="R29" s="1">
        <v>501</v>
      </c>
      <c r="S29" s="1">
        <v>204</v>
      </c>
      <c r="T29" s="1">
        <v>72</v>
      </c>
      <c r="U29" s="12">
        <v>78</v>
      </c>
      <c r="V29" s="23" t="s">
        <v>24</v>
      </c>
    </row>
    <row r="30" spans="1:22" x14ac:dyDescent="0.25">
      <c r="A30" t="s">
        <v>60</v>
      </c>
      <c r="B30" s="10" t="s">
        <v>36</v>
      </c>
      <c r="C30" s="1">
        <v>568</v>
      </c>
      <c r="D30" s="2">
        <v>1.02</v>
      </c>
      <c r="E30" s="6">
        <v>184.11</v>
      </c>
      <c r="F30" s="2">
        <f t="shared" si="0"/>
        <v>1.0337078651685394</v>
      </c>
      <c r="G30" s="3">
        <v>0.73</v>
      </c>
      <c r="H30" s="5">
        <v>125.5</v>
      </c>
      <c r="I30" s="2">
        <f t="shared" si="1"/>
        <v>0.647887323943662</v>
      </c>
      <c r="J30" s="2">
        <f t="shared" si="2"/>
        <v>0.23767605633802816</v>
      </c>
      <c r="K30" s="2">
        <f t="shared" si="3"/>
        <v>5.4577464788732391E-2</v>
      </c>
      <c r="L30" s="2">
        <f t="shared" si="4"/>
        <v>5.9859154929577461E-2</v>
      </c>
      <c r="M30" s="3">
        <v>0.2</v>
      </c>
      <c r="N30" s="11">
        <f t="shared" si="5"/>
        <v>1.4084507042253521E-2</v>
      </c>
      <c r="O30" s="1">
        <v>8</v>
      </c>
      <c r="P30" s="1">
        <v>26</v>
      </c>
      <c r="Q30" s="1">
        <v>368</v>
      </c>
      <c r="R30" s="1">
        <v>356</v>
      </c>
      <c r="S30" s="1">
        <v>135</v>
      </c>
      <c r="T30" s="1">
        <v>31</v>
      </c>
      <c r="U30" s="12">
        <v>34</v>
      </c>
      <c r="V30" s="23" t="s">
        <v>24</v>
      </c>
    </row>
    <row r="31" spans="1:22" x14ac:dyDescent="0.25">
      <c r="A31" t="s">
        <v>87</v>
      </c>
      <c r="B31" s="10" t="s">
        <v>85</v>
      </c>
      <c r="C31" s="1">
        <v>659</v>
      </c>
      <c r="D31" s="2">
        <v>1.02</v>
      </c>
      <c r="E31" s="6">
        <v>183.16</v>
      </c>
      <c r="F31" s="2">
        <f t="shared" si="0"/>
        <v>0.99765258215962438</v>
      </c>
      <c r="G31" s="3">
        <v>0.73</v>
      </c>
      <c r="H31" s="5">
        <v>126.58</v>
      </c>
      <c r="I31" s="2">
        <f t="shared" si="1"/>
        <v>0.64491654021244305</v>
      </c>
      <c r="J31" s="2">
        <f t="shared" si="2"/>
        <v>0.31866464339908951</v>
      </c>
      <c r="K31" s="2">
        <f t="shared" si="3"/>
        <v>3.7936267071320182E-2</v>
      </c>
      <c r="L31" s="2">
        <f t="shared" si="4"/>
        <v>2.4279210925644917E-2</v>
      </c>
      <c r="M31" s="3">
        <v>0.24</v>
      </c>
      <c r="N31" s="11">
        <f t="shared" si="5"/>
        <v>9.104704097116844E-3</v>
      </c>
      <c r="O31" s="1">
        <v>6</v>
      </c>
      <c r="P31" s="1">
        <v>28</v>
      </c>
      <c r="Q31" s="1">
        <v>425</v>
      </c>
      <c r="R31" s="1">
        <v>426</v>
      </c>
      <c r="S31" s="1">
        <v>210</v>
      </c>
      <c r="T31" s="1">
        <v>25</v>
      </c>
      <c r="U31" s="12">
        <v>16</v>
      </c>
      <c r="V31" s="23" t="s">
        <v>24</v>
      </c>
    </row>
    <row r="32" spans="1:22" x14ac:dyDescent="0.25">
      <c r="A32" t="s">
        <v>98</v>
      </c>
      <c r="B32" s="10" t="s">
        <v>99</v>
      </c>
      <c r="C32" s="1">
        <v>542</v>
      </c>
      <c r="D32" s="2">
        <v>1</v>
      </c>
      <c r="E32" s="6">
        <v>209.63</v>
      </c>
      <c r="F32" s="2">
        <f t="shared" si="0"/>
        <v>1.0024999999999999</v>
      </c>
      <c r="G32" s="3">
        <v>0.69</v>
      </c>
      <c r="H32" s="5">
        <v>140.34</v>
      </c>
      <c r="I32" s="2">
        <f t="shared" si="1"/>
        <v>0.73985239852398521</v>
      </c>
      <c r="J32" s="2">
        <f t="shared" si="2"/>
        <v>0.25092250922509224</v>
      </c>
      <c r="K32" s="2">
        <f t="shared" si="3"/>
        <v>8.1180811808118078E-2</v>
      </c>
      <c r="L32" s="2">
        <f t="shared" si="4"/>
        <v>9.5940959409594101E-2</v>
      </c>
      <c r="M32" s="3">
        <v>0.26</v>
      </c>
      <c r="N32" s="11">
        <f t="shared" si="5"/>
        <v>9.2250922509225092E-3</v>
      </c>
      <c r="O32" s="1">
        <v>5</v>
      </c>
      <c r="P32" s="1">
        <v>27</v>
      </c>
      <c r="Q32" s="1">
        <v>401</v>
      </c>
      <c r="R32" s="1">
        <v>400</v>
      </c>
      <c r="S32" s="1">
        <v>136</v>
      </c>
      <c r="T32" s="1">
        <v>44</v>
      </c>
      <c r="U32" s="12">
        <v>52</v>
      </c>
      <c r="V32" s="23" t="s">
        <v>24</v>
      </c>
    </row>
    <row r="33" spans="1:22" x14ac:dyDescent="0.25">
      <c r="A33" t="s">
        <v>52</v>
      </c>
      <c r="B33" s="10" t="s">
        <v>41</v>
      </c>
      <c r="C33" s="1">
        <v>587</v>
      </c>
      <c r="D33" s="2">
        <v>0.99</v>
      </c>
      <c r="E33" s="6">
        <v>222.6</v>
      </c>
      <c r="F33" s="2">
        <f t="shared" si="0"/>
        <v>1.0089887640449438</v>
      </c>
      <c r="G33" s="3">
        <v>0.68</v>
      </c>
      <c r="H33" s="5">
        <v>143.71</v>
      </c>
      <c r="I33" s="2">
        <f t="shared" si="1"/>
        <v>0.76490630323679731</v>
      </c>
      <c r="J33" s="2">
        <f t="shared" si="2"/>
        <v>0.20954003407155025</v>
      </c>
      <c r="K33" s="2">
        <f t="shared" si="3"/>
        <v>0.14480408858603067</v>
      </c>
      <c r="L33" s="2">
        <f t="shared" si="4"/>
        <v>0.13969335604770017</v>
      </c>
      <c r="M33" s="3">
        <v>0.24</v>
      </c>
      <c r="N33" s="11">
        <f t="shared" si="5"/>
        <v>3.4071550255536627E-3</v>
      </c>
      <c r="O33" s="1">
        <v>2</v>
      </c>
      <c r="P33" s="1">
        <v>27</v>
      </c>
      <c r="Q33" s="1">
        <v>449</v>
      </c>
      <c r="R33" s="1">
        <v>445</v>
      </c>
      <c r="S33" s="1">
        <v>123</v>
      </c>
      <c r="T33" s="1">
        <v>85</v>
      </c>
      <c r="U33" s="12">
        <v>82</v>
      </c>
      <c r="V33" s="23" t="s">
        <v>24</v>
      </c>
    </row>
    <row r="34" spans="1:22" x14ac:dyDescent="0.25">
      <c r="A34" t="s">
        <v>81</v>
      </c>
      <c r="B34" s="10" t="s">
        <v>46</v>
      </c>
      <c r="C34" s="1">
        <v>500</v>
      </c>
      <c r="D34" s="2">
        <v>0.99</v>
      </c>
      <c r="E34" s="6">
        <v>215.2</v>
      </c>
      <c r="F34" s="2">
        <f t="shared" ref="F34:F62" si="6">Q34/R34</f>
        <v>1.0453333333333332</v>
      </c>
      <c r="G34" s="3">
        <v>0.7</v>
      </c>
      <c r="H34" s="5">
        <v>136.86000000000001</v>
      </c>
      <c r="I34" s="2">
        <f t="shared" ref="I34:I62" si="7">Q34/C34</f>
        <v>0.78400000000000003</v>
      </c>
      <c r="J34" s="2">
        <f t="shared" ref="J34:J62" si="8">S34/C34</f>
        <v>0.158</v>
      </c>
      <c r="K34" s="2">
        <f t="shared" ref="K34:K62" si="9">T34/C34</f>
        <v>0.12</v>
      </c>
      <c r="L34" s="2">
        <f t="shared" ref="L34:L62" si="10">U34/C34</f>
        <v>0.13400000000000001</v>
      </c>
      <c r="M34" s="3">
        <v>0.22</v>
      </c>
      <c r="N34" s="11">
        <f t="shared" ref="N34:N65" si="11">O34/C34</f>
        <v>8.0000000000000002E-3</v>
      </c>
      <c r="O34" s="1">
        <v>4</v>
      </c>
      <c r="P34" s="1">
        <v>30</v>
      </c>
      <c r="Q34" s="1">
        <v>392</v>
      </c>
      <c r="R34" s="1">
        <v>375</v>
      </c>
      <c r="S34" s="1">
        <v>79</v>
      </c>
      <c r="T34" s="1">
        <v>60</v>
      </c>
      <c r="U34" s="12">
        <v>67</v>
      </c>
      <c r="V34" s="23" t="s">
        <v>24</v>
      </c>
    </row>
    <row r="35" spans="1:22" x14ac:dyDescent="0.25">
      <c r="A35" t="s">
        <v>100</v>
      </c>
      <c r="B35" s="10" t="s">
        <v>99</v>
      </c>
      <c r="C35" s="1">
        <v>484</v>
      </c>
      <c r="D35" s="2">
        <v>0.98</v>
      </c>
      <c r="E35" s="6">
        <v>229.54</v>
      </c>
      <c r="F35" s="2">
        <f t="shared" si="6"/>
        <v>1.0026954177897573</v>
      </c>
      <c r="G35" s="3">
        <v>0.65</v>
      </c>
      <c r="H35" s="5">
        <v>147.07</v>
      </c>
      <c r="I35" s="2">
        <f t="shared" si="7"/>
        <v>0.76859504132231404</v>
      </c>
      <c r="J35" s="2">
        <f t="shared" si="8"/>
        <v>0.1962809917355372</v>
      </c>
      <c r="K35" s="2">
        <f t="shared" si="9"/>
        <v>0.1756198347107438</v>
      </c>
      <c r="L35" s="2">
        <f t="shared" si="10"/>
        <v>0.18801652892561985</v>
      </c>
      <c r="M35" s="3">
        <v>0.16</v>
      </c>
      <c r="N35" s="11">
        <f t="shared" si="11"/>
        <v>6.1983471074380167E-3</v>
      </c>
      <c r="O35" s="1">
        <v>3</v>
      </c>
      <c r="P35" s="1">
        <v>28</v>
      </c>
      <c r="Q35" s="1">
        <v>372</v>
      </c>
      <c r="R35" s="1">
        <v>371</v>
      </c>
      <c r="S35" s="1">
        <v>95</v>
      </c>
      <c r="T35" s="1">
        <v>85</v>
      </c>
      <c r="U35" s="12">
        <v>91</v>
      </c>
      <c r="V35" s="23" t="s">
        <v>24</v>
      </c>
    </row>
    <row r="36" spans="1:22" x14ac:dyDescent="0.25">
      <c r="A36" t="s">
        <v>56</v>
      </c>
      <c r="B36" s="10" t="s">
        <v>23</v>
      </c>
      <c r="C36" s="1">
        <v>432</v>
      </c>
      <c r="D36" s="2">
        <v>0.98</v>
      </c>
      <c r="E36" s="6">
        <v>210.05</v>
      </c>
      <c r="F36" s="2">
        <f t="shared" si="6"/>
        <v>1.0191693290734825</v>
      </c>
      <c r="G36" s="3">
        <v>0.67</v>
      </c>
      <c r="H36" s="5">
        <v>135.63</v>
      </c>
      <c r="I36" s="2">
        <f t="shared" si="7"/>
        <v>0.73842592592592593</v>
      </c>
      <c r="J36" s="2">
        <f t="shared" si="8"/>
        <v>0.21296296296296297</v>
      </c>
      <c r="K36" s="2">
        <f t="shared" si="9"/>
        <v>0.16666666666666666</v>
      </c>
      <c r="L36" s="2">
        <f t="shared" si="10"/>
        <v>0.19212962962962962</v>
      </c>
      <c r="M36" s="3">
        <v>0.28000000000000003</v>
      </c>
      <c r="N36" s="11">
        <f t="shared" si="11"/>
        <v>2.3148148148148147E-3</v>
      </c>
      <c r="O36" s="1">
        <v>1</v>
      </c>
      <c r="P36" s="1">
        <v>26</v>
      </c>
      <c r="Q36" s="1">
        <v>319</v>
      </c>
      <c r="R36" s="1">
        <v>313</v>
      </c>
      <c r="S36" s="1">
        <v>92</v>
      </c>
      <c r="T36" s="1">
        <v>72</v>
      </c>
      <c r="U36" s="12">
        <v>83</v>
      </c>
      <c r="V36" s="23" t="s">
        <v>24</v>
      </c>
    </row>
    <row r="37" spans="1:22" x14ac:dyDescent="0.25">
      <c r="A37" t="s">
        <v>62</v>
      </c>
      <c r="B37" s="10" t="s">
        <v>23</v>
      </c>
      <c r="C37" s="1">
        <v>571</v>
      </c>
      <c r="D37" s="2">
        <v>0.95</v>
      </c>
      <c r="E37" s="6">
        <v>158.07</v>
      </c>
      <c r="F37" s="2">
        <f t="shared" si="6"/>
        <v>0.88547486033519551</v>
      </c>
      <c r="G37" s="3">
        <v>0.74</v>
      </c>
      <c r="H37" s="5">
        <v>102.79</v>
      </c>
      <c r="I37" s="2">
        <f t="shared" si="7"/>
        <v>0.55516637478108577</v>
      </c>
      <c r="J37" s="2">
        <f t="shared" si="8"/>
        <v>0.41330998248686512</v>
      </c>
      <c r="K37" s="2">
        <f t="shared" si="9"/>
        <v>4.3782837127845885E-2</v>
      </c>
      <c r="L37" s="2">
        <f t="shared" si="10"/>
        <v>4.9036777583187391E-2</v>
      </c>
      <c r="M37" s="3">
        <v>0.17</v>
      </c>
      <c r="N37" s="11">
        <f t="shared" si="11"/>
        <v>1.9264448336252189E-2</v>
      </c>
      <c r="O37" s="1">
        <v>11</v>
      </c>
      <c r="P37" s="1">
        <v>23</v>
      </c>
      <c r="Q37" s="1">
        <v>317</v>
      </c>
      <c r="R37" s="1">
        <v>358</v>
      </c>
      <c r="S37" s="1">
        <v>236</v>
      </c>
      <c r="T37" s="1">
        <v>25</v>
      </c>
      <c r="U37" s="12">
        <v>28</v>
      </c>
      <c r="V37" s="23" t="s">
        <v>24</v>
      </c>
    </row>
    <row r="38" spans="1:22" x14ac:dyDescent="0.25">
      <c r="A38" t="s">
        <v>107</v>
      </c>
      <c r="B38" s="10" t="s">
        <v>105</v>
      </c>
      <c r="C38" s="1">
        <v>525</v>
      </c>
      <c r="D38" s="2">
        <v>0.94</v>
      </c>
      <c r="E38" s="6">
        <v>193.68</v>
      </c>
      <c r="F38" s="2">
        <f t="shared" si="6"/>
        <v>0.95854922279792742</v>
      </c>
      <c r="G38" s="3">
        <v>0.7</v>
      </c>
      <c r="H38" s="5">
        <v>128.69999999999999</v>
      </c>
      <c r="I38" s="2">
        <f t="shared" si="7"/>
        <v>0.70476190476190481</v>
      </c>
      <c r="J38" s="2">
        <f t="shared" si="8"/>
        <v>0.19047619047619047</v>
      </c>
      <c r="K38" s="2">
        <f t="shared" si="9"/>
        <v>0.10095238095238095</v>
      </c>
      <c r="L38" s="2">
        <f t="shared" si="10"/>
        <v>0.1180952380952381</v>
      </c>
      <c r="M38" s="3">
        <v>0.26</v>
      </c>
      <c r="N38" s="11">
        <f t="shared" si="11"/>
        <v>3.8095238095238095E-3</v>
      </c>
      <c r="O38" s="1">
        <v>2</v>
      </c>
      <c r="P38" s="1">
        <v>28</v>
      </c>
      <c r="Q38" s="1">
        <v>370</v>
      </c>
      <c r="R38" s="1">
        <v>386</v>
      </c>
      <c r="S38" s="1">
        <v>100</v>
      </c>
      <c r="T38" s="1">
        <v>53</v>
      </c>
      <c r="U38" s="12">
        <v>62</v>
      </c>
      <c r="V38" s="23" t="s">
        <v>24</v>
      </c>
    </row>
    <row r="39" spans="1:22" x14ac:dyDescent="0.25">
      <c r="A39" t="s">
        <v>69</v>
      </c>
      <c r="B39" s="10" t="s">
        <v>41</v>
      </c>
      <c r="C39" s="1">
        <v>527</v>
      </c>
      <c r="D39" s="2">
        <v>0.93</v>
      </c>
      <c r="E39" s="6">
        <v>175.85</v>
      </c>
      <c r="F39" s="2">
        <f t="shared" si="6"/>
        <v>0.84657534246575339</v>
      </c>
      <c r="G39" s="3">
        <v>0.72</v>
      </c>
      <c r="H39" s="5">
        <v>116.32</v>
      </c>
      <c r="I39" s="2">
        <f t="shared" si="7"/>
        <v>0.58633776091081591</v>
      </c>
      <c r="J39" s="2">
        <f t="shared" si="8"/>
        <v>0.36053130929791272</v>
      </c>
      <c r="K39" s="2">
        <f t="shared" si="9"/>
        <v>4.3643263757115747E-2</v>
      </c>
      <c r="L39" s="2">
        <f t="shared" si="10"/>
        <v>5.6925996204933584E-2</v>
      </c>
      <c r="M39" s="3">
        <v>0.14000000000000001</v>
      </c>
      <c r="N39" s="11">
        <f t="shared" si="11"/>
        <v>7.5901328273244783E-3</v>
      </c>
      <c r="O39" s="1">
        <v>4</v>
      </c>
      <c r="P39" s="1">
        <v>23</v>
      </c>
      <c r="Q39" s="1">
        <v>309</v>
      </c>
      <c r="R39" s="1">
        <v>365</v>
      </c>
      <c r="S39" s="1">
        <v>190</v>
      </c>
      <c r="T39" s="1">
        <v>23</v>
      </c>
      <c r="U39" s="12">
        <v>30</v>
      </c>
      <c r="V39" s="23" t="s">
        <v>24</v>
      </c>
    </row>
    <row r="40" spans="1:22" x14ac:dyDescent="0.25">
      <c r="A40" t="s">
        <v>89</v>
      </c>
      <c r="B40" s="10" t="s">
        <v>85</v>
      </c>
      <c r="C40" s="1">
        <v>556</v>
      </c>
      <c r="D40" s="2">
        <v>0.92</v>
      </c>
      <c r="E40" s="6">
        <v>182.57</v>
      </c>
      <c r="F40" s="2">
        <f t="shared" si="6"/>
        <v>0.85929648241206025</v>
      </c>
      <c r="G40" s="3">
        <v>0.71</v>
      </c>
      <c r="H40" s="5">
        <v>123.24</v>
      </c>
      <c r="I40" s="2">
        <f t="shared" si="7"/>
        <v>0.6151079136690647</v>
      </c>
      <c r="J40" s="2">
        <f t="shared" si="8"/>
        <v>0.3039568345323741</v>
      </c>
      <c r="K40" s="2">
        <f t="shared" si="9"/>
        <v>7.1942446043165464E-2</v>
      </c>
      <c r="L40" s="2">
        <f t="shared" si="10"/>
        <v>6.1151079136690649E-2</v>
      </c>
      <c r="M40" s="3">
        <v>0.32</v>
      </c>
      <c r="N40" s="11">
        <f t="shared" si="11"/>
        <v>1.4388489208633094E-2</v>
      </c>
      <c r="O40" s="1">
        <v>8</v>
      </c>
      <c r="P40" s="1">
        <v>19</v>
      </c>
      <c r="Q40" s="1">
        <v>342</v>
      </c>
      <c r="R40" s="1">
        <v>398</v>
      </c>
      <c r="S40" s="1">
        <v>169</v>
      </c>
      <c r="T40" s="1">
        <v>40</v>
      </c>
      <c r="U40" s="12">
        <v>34</v>
      </c>
      <c r="V40" s="23" t="s">
        <v>24</v>
      </c>
    </row>
    <row r="41" spans="1:22" x14ac:dyDescent="0.25">
      <c r="A41" t="s">
        <v>63</v>
      </c>
      <c r="B41" s="10" t="s">
        <v>23</v>
      </c>
      <c r="C41" s="1">
        <v>571</v>
      </c>
      <c r="D41" s="2">
        <v>0.92</v>
      </c>
      <c r="E41" s="6">
        <v>178.77</v>
      </c>
      <c r="F41" s="2">
        <f t="shared" si="6"/>
        <v>0.88071065989847719</v>
      </c>
      <c r="G41" s="3">
        <v>0.71</v>
      </c>
      <c r="H41" s="5">
        <v>119.17</v>
      </c>
      <c r="I41" s="2">
        <f t="shared" si="7"/>
        <v>0.60770577933450087</v>
      </c>
      <c r="J41" s="2">
        <f t="shared" si="8"/>
        <v>0.23642732049036777</v>
      </c>
      <c r="K41" s="2">
        <f t="shared" si="9"/>
        <v>7.1803852889667244E-2</v>
      </c>
      <c r="L41" s="2">
        <f t="shared" si="10"/>
        <v>6.1295971978984239E-2</v>
      </c>
      <c r="M41" s="3">
        <v>0.1</v>
      </c>
      <c r="N41" s="11">
        <f t="shared" si="11"/>
        <v>3.5026269702276708E-3</v>
      </c>
      <c r="O41" s="1">
        <v>2</v>
      </c>
      <c r="P41" s="1">
        <v>21</v>
      </c>
      <c r="Q41" s="1">
        <v>347</v>
      </c>
      <c r="R41" s="1">
        <v>394</v>
      </c>
      <c r="S41" s="1">
        <v>135</v>
      </c>
      <c r="T41" s="1">
        <v>41</v>
      </c>
      <c r="U41" s="12">
        <v>35</v>
      </c>
      <c r="V41" s="23" t="s">
        <v>24</v>
      </c>
    </row>
    <row r="42" spans="1:22" x14ac:dyDescent="0.25">
      <c r="A42" t="s">
        <v>82</v>
      </c>
      <c r="B42" s="10" t="s">
        <v>83</v>
      </c>
      <c r="C42" s="1">
        <v>520</v>
      </c>
      <c r="D42" s="2">
        <v>0.9</v>
      </c>
      <c r="E42" s="6">
        <v>198.95</v>
      </c>
      <c r="F42" s="2">
        <f t="shared" si="6"/>
        <v>0.88669950738916259</v>
      </c>
      <c r="G42" s="3">
        <v>0.69</v>
      </c>
      <c r="H42" s="5">
        <v>130.44</v>
      </c>
      <c r="I42" s="2">
        <f t="shared" si="7"/>
        <v>0.69230769230769229</v>
      </c>
      <c r="J42" s="2">
        <f t="shared" si="8"/>
        <v>0.21153846153846154</v>
      </c>
      <c r="K42" s="2">
        <f t="shared" si="9"/>
        <v>0.11153846153846154</v>
      </c>
      <c r="L42" s="2">
        <f t="shared" si="10"/>
        <v>0.11153846153846154</v>
      </c>
      <c r="M42" s="3">
        <v>0.22</v>
      </c>
      <c r="N42" s="11">
        <f t="shared" si="11"/>
        <v>3.8461538461538464E-3</v>
      </c>
      <c r="O42" s="1">
        <v>2</v>
      </c>
      <c r="P42" s="1">
        <v>24</v>
      </c>
      <c r="Q42" s="1">
        <v>360</v>
      </c>
      <c r="R42" s="1">
        <v>406</v>
      </c>
      <c r="S42" s="1">
        <v>110</v>
      </c>
      <c r="T42" s="1">
        <v>58</v>
      </c>
      <c r="U42" s="12">
        <v>58</v>
      </c>
      <c r="V42" s="23" t="s">
        <v>24</v>
      </c>
    </row>
    <row r="43" spans="1:22" x14ac:dyDescent="0.25">
      <c r="A43" t="s">
        <v>75</v>
      </c>
      <c r="B43" s="10" t="s">
        <v>41</v>
      </c>
      <c r="C43" s="1">
        <v>438</v>
      </c>
      <c r="D43" s="2">
        <v>0.89</v>
      </c>
      <c r="E43" s="6">
        <v>172.59</v>
      </c>
      <c r="F43" s="2">
        <f t="shared" si="6"/>
        <v>0.85350318471337583</v>
      </c>
      <c r="G43" s="3">
        <v>0.72</v>
      </c>
      <c r="H43" s="5">
        <v>109.63</v>
      </c>
      <c r="I43" s="2">
        <f t="shared" si="7"/>
        <v>0.61187214611872143</v>
      </c>
      <c r="J43" s="2">
        <f t="shared" si="8"/>
        <v>0.31050228310502281</v>
      </c>
      <c r="K43" s="2">
        <f t="shared" si="9"/>
        <v>7.0776255707762553E-2</v>
      </c>
      <c r="L43" s="2">
        <f t="shared" si="10"/>
        <v>7.9908675799086754E-2</v>
      </c>
      <c r="M43" s="3">
        <v>0.24</v>
      </c>
      <c r="N43" s="11">
        <f t="shared" si="11"/>
        <v>1.8264840182648401E-2</v>
      </c>
      <c r="O43" s="1">
        <v>8</v>
      </c>
      <c r="P43" s="1">
        <v>18</v>
      </c>
      <c r="Q43" s="1">
        <v>268</v>
      </c>
      <c r="R43" s="1">
        <v>314</v>
      </c>
      <c r="S43" s="1">
        <v>136</v>
      </c>
      <c r="T43" s="1">
        <v>31</v>
      </c>
      <c r="U43" s="12">
        <v>35</v>
      </c>
      <c r="V43" s="23" t="s">
        <v>24</v>
      </c>
    </row>
    <row r="44" spans="1:22" x14ac:dyDescent="0.25">
      <c r="A44" t="s">
        <v>30</v>
      </c>
      <c r="B44" s="10" t="s">
        <v>31</v>
      </c>
      <c r="C44" s="1">
        <v>648</v>
      </c>
      <c r="D44" s="2">
        <v>0.88</v>
      </c>
      <c r="E44" s="6">
        <v>184.86</v>
      </c>
      <c r="F44" s="2">
        <f t="shared" si="6"/>
        <v>0.86307053941908718</v>
      </c>
      <c r="G44" s="3">
        <v>0.68</v>
      </c>
      <c r="H44" s="5">
        <v>118.77</v>
      </c>
      <c r="I44" s="2">
        <f t="shared" si="7"/>
        <v>0.64197530864197527</v>
      </c>
      <c r="J44" s="2">
        <f t="shared" si="8"/>
        <v>0.21450617283950618</v>
      </c>
      <c r="K44" s="2">
        <f t="shared" si="9"/>
        <v>9.8765432098765427E-2</v>
      </c>
      <c r="L44" s="2">
        <f t="shared" si="10"/>
        <v>0.13271604938271606</v>
      </c>
      <c r="M44" s="3">
        <v>0.21</v>
      </c>
      <c r="N44" s="11">
        <f t="shared" si="11"/>
        <v>1.2345679012345678E-2</v>
      </c>
      <c r="O44" s="1">
        <v>8</v>
      </c>
      <c r="P44" s="1">
        <v>28</v>
      </c>
      <c r="Q44" s="1">
        <v>416</v>
      </c>
      <c r="R44" s="1">
        <v>482</v>
      </c>
      <c r="S44" s="1">
        <v>139</v>
      </c>
      <c r="T44" s="1">
        <v>64</v>
      </c>
      <c r="U44" s="12">
        <v>86</v>
      </c>
      <c r="V44" s="23" t="s">
        <v>24</v>
      </c>
    </row>
    <row r="45" spans="1:22" x14ac:dyDescent="0.25">
      <c r="A45" t="s">
        <v>112</v>
      </c>
      <c r="B45" s="10" t="s">
        <v>83</v>
      </c>
      <c r="C45" s="1">
        <v>460</v>
      </c>
      <c r="D45" s="2">
        <v>0.87</v>
      </c>
      <c r="E45" s="6">
        <v>182.8</v>
      </c>
      <c r="F45" s="2">
        <f t="shared" si="6"/>
        <v>0.81415929203539827</v>
      </c>
      <c r="G45" s="3">
        <v>0.67</v>
      </c>
      <c r="H45" s="5">
        <v>120.94</v>
      </c>
      <c r="I45" s="2">
        <f t="shared" si="7"/>
        <v>0.6</v>
      </c>
      <c r="J45" s="2">
        <f t="shared" si="8"/>
        <v>0.26521739130434785</v>
      </c>
      <c r="K45" s="2">
        <f t="shared" si="9"/>
        <v>8.0434782608695646E-2</v>
      </c>
      <c r="L45" s="2">
        <f t="shared" si="10"/>
        <v>0.1108695652173913</v>
      </c>
      <c r="M45" s="3">
        <v>0.2</v>
      </c>
      <c r="N45" s="11">
        <f t="shared" si="11"/>
        <v>4.3478260869565218E-3</v>
      </c>
      <c r="O45" s="1">
        <v>2</v>
      </c>
      <c r="P45" s="1">
        <v>25</v>
      </c>
      <c r="Q45" s="1">
        <v>276</v>
      </c>
      <c r="R45" s="1">
        <v>339</v>
      </c>
      <c r="S45" s="1">
        <v>122</v>
      </c>
      <c r="T45" s="1">
        <v>37</v>
      </c>
      <c r="U45" s="12">
        <v>51</v>
      </c>
      <c r="V45" s="23" t="s">
        <v>24</v>
      </c>
    </row>
    <row r="46" spans="1:22" x14ac:dyDescent="0.25">
      <c r="A46" t="s">
        <v>88</v>
      </c>
      <c r="B46" s="10" t="s">
        <v>85</v>
      </c>
      <c r="C46" s="1">
        <v>470</v>
      </c>
      <c r="D46" s="2">
        <v>0.87</v>
      </c>
      <c r="E46" s="6">
        <v>178.95</v>
      </c>
      <c r="F46" s="2">
        <f t="shared" si="6"/>
        <v>0.84615384615384615</v>
      </c>
      <c r="G46" s="3">
        <v>0.66</v>
      </c>
      <c r="H46" s="5">
        <v>117.02</v>
      </c>
      <c r="I46" s="2">
        <f t="shared" si="7"/>
        <v>0.60851063829787233</v>
      </c>
      <c r="J46" s="2">
        <f t="shared" si="8"/>
        <v>0.22340425531914893</v>
      </c>
      <c r="K46" s="2">
        <f t="shared" si="9"/>
        <v>8.085106382978724E-2</v>
      </c>
      <c r="L46" s="2">
        <f t="shared" si="10"/>
        <v>7.4468085106382975E-2</v>
      </c>
      <c r="M46" s="3">
        <v>0.23</v>
      </c>
      <c r="N46" s="11">
        <f t="shared" si="11"/>
        <v>0</v>
      </c>
      <c r="O46" s="1">
        <v>0</v>
      </c>
      <c r="P46" s="1">
        <v>24</v>
      </c>
      <c r="Q46" s="1">
        <v>286</v>
      </c>
      <c r="R46" s="1">
        <v>338</v>
      </c>
      <c r="S46" s="1">
        <v>105</v>
      </c>
      <c r="T46" s="1">
        <v>38</v>
      </c>
      <c r="U46" s="12">
        <v>35</v>
      </c>
      <c r="V46" s="23" t="s">
        <v>24</v>
      </c>
    </row>
    <row r="47" spans="1:22" x14ac:dyDescent="0.25">
      <c r="A47" t="s">
        <v>79</v>
      </c>
      <c r="B47" s="10" t="s">
        <v>31</v>
      </c>
      <c r="C47" s="1">
        <v>703</v>
      </c>
      <c r="D47" s="2">
        <v>0.87</v>
      </c>
      <c r="E47" s="6">
        <v>153.84</v>
      </c>
      <c r="F47" s="2">
        <f t="shared" si="6"/>
        <v>0.81023454157782515</v>
      </c>
      <c r="G47" s="3">
        <v>0.7</v>
      </c>
      <c r="H47" s="5">
        <v>102.72</v>
      </c>
      <c r="I47" s="2">
        <f t="shared" si="7"/>
        <v>0.54054054054054057</v>
      </c>
      <c r="J47" s="2">
        <f t="shared" si="8"/>
        <v>0.31294452347083929</v>
      </c>
      <c r="K47" s="2">
        <f t="shared" si="9"/>
        <v>3.9829302987197723E-2</v>
      </c>
      <c r="L47" s="2">
        <f t="shared" si="10"/>
        <v>5.1209103840682786E-2</v>
      </c>
      <c r="M47" s="3">
        <v>0.16</v>
      </c>
      <c r="N47" s="11">
        <f t="shared" si="11"/>
        <v>1.5647226173541962E-2</v>
      </c>
      <c r="O47" s="1">
        <v>11</v>
      </c>
      <c r="P47" s="1">
        <v>23</v>
      </c>
      <c r="Q47" s="1">
        <v>380</v>
      </c>
      <c r="R47" s="1">
        <v>469</v>
      </c>
      <c r="S47" s="1">
        <v>220</v>
      </c>
      <c r="T47" s="1">
        <v>28</v>
      </c>
      <c r="U47" s="12">
        <v>36</v>
      </c>
      <c r="V47" s="23" t="s">
        <v>24</v>
      </c>
    </row>
    <row r="48" spans="1:22" x14ac:dyDescent="0.25">
      <c r="A48" t="s">
        <v>117</v>
      </c>
      <c r="B48" s="10" t="s">
        <v>115</v>
      </c>
      <c r="C48" s="1">
        <v>416</v>
      </c>
      <c r="D48" s="2">
        <v>0.85</v>
      </c>
      <c r="E48" s="6">
        <v>180.86</v>
      </c>
      <c r="F48" s="2">
        <f t="shared" si="6"/>
        <v>0.78549848942598188</v>
      </c>
      <c r="G48" s="3">
        <v>0.7</v>
      </c>
      <c r="H48" s="5">
        <v>115.43</v>
      </c>
      <c r="I48" s="2">
        <f t="shared" si="7"/>
        <v>0.625</v>
      </c>
      <c r="J48" s="2">
        <f t="shared" si="8"/>
        <v>0.34134615384615385</v>
      </c>
      <c r="K48" s="2">
        <f t="shared" si="9"/>
        <v>8.4134615384615391E-2</v>
      </c>
      <c r="L48" s="2">
        <f t="shared" si="10"/>
        <v>0.11057692307692307</v>
      </c>
      <c r="M48" s="3">
        <v>0.26</v>
      </c>
      <c r="N48" s="11">
        <f t="shared" si="11"/>
        <v>9.6153846153846159E-3</v>
      </c>
      <c r="O48" s="1">
        <v>4</v>
      </c>
      <c r="P48" s="1">
        <v>23</v>
      </c>
      <c r="Q48" s="1">
        <v>260</v>
      </c>
      <c r="R48" s="1">
        <v>331</v>
      </c>
      <c r="S48" s="1">
        <v>142</v>
      </c>
      <c r="T48" s="1">
        <v>35</v>
      </c>
      <c r="U48" s="12">
        <v>46</v>
      </c>
      <c r="V48" s="23" t="s">
        <v>24</v>
      </c>
    </row>
    <row r="49" spans="1:22" x14ac:dyDescent="0.25">
      <c r="A49" t="s">
        <v>118</v>
      </c>
      <c r="B49" s="10" t="s">
        <v>115</v>
      </c>
      <c r="C49" s="1">
        <v>508</v>
      </c>
      <c r="D49" s="2">
        <v>0.82</v>
      </c>
      <c r="E49" s="6">
        <v>181.53</v>
      </c>
      <c r="F49" s="2">
        <f t="shared" si="6"/>
        <v>0.78426395939086291</v>
      </c>
      <c r="G49" s="3">
        <v>0.64</v>
      </c>
      <c r="H49" s="5">
        <v>118.9</v>
      </c>
      <c r="I49" s="2">
        <f t="shared" si="7"/>
        <v>0.6082677165354331</v>
      </c>
      <c r="J49" s="2">
        <f t="shared" si="8"/>
        <v>0.23425196850393701</v>
      </c>
      <c r="K49" s="2">
        <f t="shared" si="9"/>
        <v>0.11811023622047244</v>
      </c>
      <c r="L49" s="2">
        <f t="shared" si="10"/>
        <v>0.16338582677165353</v>
      </c>
      <c r="M49" s="3">
        <v>0.21</v>
      </c>
      <c r="N49" s="11">
        <f t="shared" si="11"/>
        <v>1.968503937007874E-3</v>
      </c>
      <c r="O49" s="1">
        <v>1</v>
      </c>
      <c r="P49" s="1">
        <v>22</v>
      </c>
      <c r="Q49" s="1">
        <v>309</v>
      </c>
      <c r="R49" s="1">
        <v>394</v>
      </c>
      <c r="S49" s="1">
        <v>119</v>
      </c>
      <c r="T49" s="1">
        <v>60</v>
      </c>
      <c r="U49" s="12">
        <v>83</v>
      </c>
      <c r="V49" s="23" t="s">
        <v>24</v>
      </c>
    </row>
    <row r="50" spans="1:22" x14ac:dyDescent="0.25">
      <c r="A50" t="s">
        <v>48</v>
      </c>
      <c r="B50" s="10" t="s">
        <v>46</v>
      </c>
      <c r="C50" s="1">
        <v>487</v>
      </c>
      <c r="D50" s="2">
        <v>0.82</v>
      </c>
      <c r="E50" s="6">
        <v>172.22</v>
      </c>
      <c r="F50" s="2">
        <f t="shared" si="6"/>
        <v>0.77747989276139406</v>
      </c>
      <c r="G50" s="3">
        <v>0.67</v>
      </c>
      <c r="H50" s="5">
        <v>117.23</v>
      </c>
      <c r="I50" s="2">
        <f t="shared" si="7"/>
        <v>0.59548254620123209</v>
      </c>
      <c r="J50" s="2">
        <f t="shared" si="8"/>
        <v>0.21560574948665298</v>
      </c>
      <c r="K50" s="2">
        <f t="shared" si="9"/>
        <v>7.3921971252566734E-2</v>
      </c>
      <c r="L50" s="2">
        <f t="shared" si="10"/>
        <v>0.13552361396303902</v>
      </c>
      <c r="M50" s="3">
        <v>0.16</v>
      </c>
      <c r="N50" s="11">
        <f t="shared" si="11"/>
        <v>1.0266940451745379E-2</v>
      </c>
      <c r="O50" s="1">
        <v>5</v>
      </c>
      <c r="P50" s="1">
        <v>26</v>
      </c>
      <c r="Q50" s="1">
        <v>290</v>
      </c>
      <c r="R50" s="1">
        <v>373</v>
      </c>
      <c r="S50" s="1">
        <v>105</v>
      </c>
      <c r="T50" s="1">
        <v>36</v>
      </c>
      <c r="U50" s="12">
        <v>66</v>
      </c>
      <c r="V50" s="23" t="s">
        <v>24</v>
      </c>
    </row>
    <row r="51" spans="1:22" x14ac:dyDescent="0.25">
      <c r="A51" t="s">
        <v>97</v>
      </c>
      <c r="B51" s="10" t="s">
        <v>93</v>
      </c>
      <c r="C51" s="1">
        <v>641</v>
      </c>
      <c r="D51" s="2">
        <v>0.81</v>
      </c>
      <c r="E51" s="6">
        <v>170.6</v>
      </c>
      <c r="F51" s="2">
        <f t="shared" si="6"/>
        <v>0.77542372881355937</v>
      </c>
      <c r="G51" s="3">
        <v>0.66</v>
      </c>
      <c r="H51" s="5">
        <v>111.75</v>
      </c>
      <c r="I51" s="2">
        <f t="shared" si="7"/>
        <v>0.57098283931357252</v>
      </c>
      <c r="J51" s="2">
        <f t="shared" si="8"/>
        <v>0.18720748829953199</v>
      </c>
      <c r="K51" s="2">
        <f t="shared" si="9"/>
        <v>7.9563182527301088E-2</v>
      </c>
      <c r="L51" s="2">
        <f t="shared" si="10"/>
        <v>0.10140405616224649</v>
      </c>
      <c r="M51" s="3">
        <v>0.14000000000000001</v>
      </c>
      <c r="N51" s="11">
        <f t="shared" si="11"/>
        <v>1.2480499219968799E-2</v>
      </c>
      <c r="O51" s="1">
        <v>8</v>
      </c>
      <c r="P51" s="1">
        <v>21</v>
      </c>
      <c r="Q51" s="1">
        <v>366</v>
      </c>
      <c r="R51" s="1">
        <v>472</v>
      </c>
      <c r="S51" s="1">
        <v>120</v>
      </c>
      <c r="T51" s="1">
        <v>51</v>
      </c>
      <c r="U51" s="12">
        <v>65</v>
      </c>
      <c r="V51" s="23" t="s">
        <v>24</v>
      </c>
    </row>
    <row r="52" spans="1:22" x14ac:dyDescent="0.25">
      <c r="A52" t="s">
        <v>106</v>
      </c>
      <c r="B52" s="10" t="s">
        <v>105</v>
      </c>
      <c r="C52" s="1">
        <v>596</v>
      </c>
      <c r="D52" s="2">
        <v>0.81</v>
      </c>
      <c r="E52" s="6">
        <v>156.15</v>
      </c>
      <c r="F52" s="2">
        <f t="shared" si="6"/>
        <v>0.7654028436018957</v>
      </c>
      <c r="G52" s="3">
        <v>0.64</v>
      </c>
      <c r="H52" s="5">
        <v>106.22</v>
      </c>
      <c r="I52" s="2">
        <f t="shared" si="7"/>
        <v>0.54194630872483218</v>
      </c>
      <c r="J52" s="2">
        <f t="shared" si="8"/>
        <v>0.21308724832214765</v>
      </c>
      <c r="K52" s="2">
        <f t="shared" si="9"/>
        <v>3.1879194630872486E-2</v>
      </c>
      <c r="L52" s="2">
        <f t="shared" si="10"/>
        <v>8.3892617449664433E-2</v>
      </c>
      <c r="M52" s="3">
        <v>0.2</v>
      </c>
      <c r="N52" s="11">
        <f t="shared" si="11"/>
        <v>1.6778523489932886E-3</v>
      </c>
      <c r="O52" s="1">
        <v>1</v>
      </c>
      <c r="P52" s="1">
        <v>19</v>
      </c>
      <c r="Q52" s="1">
        <v>323</v>
      </c>
      <c r="R52" s="1">
        <v>422</v>
      </c>
      <c r="S52" s="1">
        <v>127</v>
      </c>
      <c r="T52" s="1">
        <v>19</v>
      </c>
      <c r="U52" s="12">
        <v>50</v>
      </c>
      <c r="V52" s="23" t="s">
        <v>24</v>
      </c>
    </row>
    <row r="53" spans="1:22" x14ac:dyDescent="0.25">
      <c r="A53" t="s">
        <v>108</v>
      </c>
      <c r="B53" s="10" t="s">
        <v>105</v>
      </c>
      <c r="C53" s="1">
        <v>422</v>
      </c>
      <c r="D53" s="2">
        <v>0.81</v>
      </c>
      <c r="E53" s="6">
        <v>150.22</v>
      </c>
      <c r="F53" s="2">
        <f t="shared" si="6"/>
        <v>0.75737704918032789</v>
      </c>
      <c r="G53" s="4">
        <v>0.68</v>
      </c>
      <c r="H53" s="5">
        <v>99.73</v>
      </c>
      <c r="I53" s="2">
        <f t="shared" si="7"/>
        <v>0.54739336492891</v>
      </c>
      <c r="J53" s="2">
        <f t="shared" si="8"/>
        <v>0.3009478672985782</v>
      </c>
      <c r="K53" s="2">
        <f t="shared" si="9"/>
        <v>4.0284360189573459E-2</v>
      </c>
      <c r="L53" s="2">
        <f t="shared" si="10"/>
        <v>7.1090047393364927E-2</v>
      </c>
      <c r="M53" s="4">
        <v>0.19</v>
      </c>
      <c r="N53" s="11">
        <f t="shared" si="11"/>
        <v>1.8957345971563982E-2</v>
      </c>
      <c r="O53" s="1">
        <v>8</v>
      </c>
      <c r="P53" s="1">
        <v>21</v>
      </c>
      <c r="Q53" s="1">
        <v>231</v>
      </c>
      <c r="R53" s="1">
        <v>305</v>
      </c>
      <c r="S53" s="1">
        <v>127</v>
      </c>
      <c r="T53" s="1">
        <v>17</v>
      </c>
      <c r="U53" s="12">
        <v>30</v>
      </c>
      <c r="V53" s="23" t="s">
        <v>24</v>
      </c>
    </row>
    <row r="54" spans="1:22" x14ac:dyDescent="0.25">
      <c r="A54" t="s">
        <v>114</v>
      </c>
      <c r="B54" s="10" t="s">
        <v>115</v>
      </c>
      <c r="C54" s="1">
        <v>417</v>
      </c>
      <c r="D54" s="2">
        <v>0.8</v>
      </c>
      <c r="E54" s="6">
        <v>146.19999999999999</v>
      </c>
      <c r="F54" s="2">
        <f t="shared" si="6"/>
        <v>0.7068965517241379</v>
      </c>
      <c r="G54" s="4">
        <v>0.67</v>
      </c>
      <c r="H54" s="5">
        <v>97.79</v>
      </c>
      <c r="I54" s="2">
        <f t="shared" si="7"/>
        <v>0.49160671462829736</v>
      </c>
      <c r="J54" s="2">
        <f t="shared" si="8"/>
        <v>0.30695443645083931</v>
      </c>
      <c r="K54" s="2">
        <f t="shared" si="9"/>
        <v>3.8369304556354913E-2</v>
      </c>
      <c r="L54" s="2">
        <f t="shared" si="10"/>
        <v>8.1534772182254203E-2</v>
      </c>
      <c r="M54" s="4">
        <v>0.15</v>
      </c>
      <c r="N54" s="11">
        <f t="shared" si="11"/>
        <v>1.1990407673860911E-2</v>
      </c>
      <c r="O54" s="1">
        <v>5</v>
      </c>
      <c r="P54" s="1">
        <v>17</v>
      </c>
      <c r="Q54" s="1">
        <v>205</v>
      </c>
      <c r="R54" s="1">
        <v>290</v>
      </c>
      <c r="S54" s="1">
        <v>128</v>
      </c>
      <c r="T54" s="1">
        <v>16</v>
      </c>
      <c r="U54" s="12">
        <v>34</v>
      </c>
      <c r="V54" s="23" t="s">
        <v>24</v>
      </c>
    </row>
    <row r="55" spans="1:22" x14ac:dyDescent="0.25">
      <c r="A55" t="s">
        <v>113</v>
      </c>
      <c r="B55" s="10" t="s">
        <v>83</v>
      </c>
      <c r="C55" s="1">
        <v>501</v>
      </c>
      <c r="D55" s="2">
        <v>0.79</v>
      </c>
      <c r="E55" s="6">
        <v>162.61000000000001</v>
      </c>
      <c r="F55" s="2">
        <f t="shared" si="6"/>
        <v>0.71279373368146215</v>
      </c>
      <c r="G55" s="3">
        <v>0.69</v>
      </c>
      <c r="H55" s="5">
        <v>103.43</v>
      </c>
      <c r="I55" s="2">
        <f t="shared" si="7"/>
        <v>0.54491017964071853</v>
      </c>
      <c r="J55" s="2">
        <f t="shared" si="8"/>
        <v>0.32934131736526945</v>
      </c>
      <c r="K55" s="2">
        <f t="shared" si="9"/>
        <v>4.9900199600798403E-2</v>
      </c>
      <c r="L55" s="2">
        <f t="shared" si="10"/>
        <v>9.9800399201596807E-2</v>
      </c>
      <c r="M55" s="3">
        <v>0.15</v>
      </c>
      <c r="N55" s="11">
        <f t="shared" si="11"/>
        <v>5.9880239520958087E-3</v>
      </c>
      <c r="O55" s="1">
        <v>3</v>
      </c>
      <c r="P55" s="1">
        <v>21</v>
      </c>
      <c r="Q55" s="1">
        <v>273</v>
      </c>
      <c r="R55" s="1">
        <v>383</v>
      </c>
      <c r="S55" s="1">
        <v>165</v>
      </c>
      <c r="T55" s="1">
        <v>25</v>
      </c>
      <c r="U55" s="12">
        <v>50</v>
      </c>
      <c r="V55" s="23" t="s">
        <v>24</v>
      </c>
    </row>
    <row r="56" spans="1:22" x14ac:dyDescent="0.25">
      <c r="A56" t="s">
        <v>70</v>
      </c>
      <c r="B56" s="10" t="s">
        <v>26</v>
      </c>
      <c r="C56" s="1">
        <v>583</v>
      </c>
      <c r="D56" s="2">
        <v>0.79</v>
      </c>
      <c r="E56" s="6">
        <v>131.33000000000001</v>
      </c>
      <c r="F56" s="2">
        <f t="shared" si="6"/>
        <v>0.66927083333333337</v>
      </c>
      <c r="G56" s="3">
        <v>0.71</v>
      </c>
      <c r="H56" s="5">
        <v>85.76</v>
      </c>
      <c r="I56" s="2">
        <f t="shared" si="7"/>
        <v>0.44082332761578047</v>
      </c>
      <c r="J56" s="2">
        <f t="shared" si="8"/>
        <v>0.34133790737564323</v>
      </c>
      <c r="K56" s="2">
        <f t="shared" si="9"/>
        <v>4.6312178387650088E-2</v>
      </c>
      <c r="L56" s="2">
        <f t="shared" si="10"/>
        <v>5.3173241852487133E-2</v>
      </c>
      <c r="M56" s="3">
        <v>0.18</v>
      </c>
      <c r="N56" s="11">
        <f t="shared" si="11"/>
        <v>6.8610634648370496E-3</v>
      </c>
      <c r="O56" s="1">
        <v>4</v>
      </c>
      <c r="P56" s="1">
        <v>18</v>
      </c>
      <c r="Q56" s="1">
        <v>257</v>
      </c>
      <c r="R56" s="1">
        <v>384</v>
      </c>
      <c r="S56" s="1">
        <v>199</v>
      </c>
      <c r="T56" s="1">
        <v>27</v>
      </c>
      <c r="U56" s="12">
        <v>31</v>
      </c>
      <c r="V56" s="23" t="s">
        <v>24</v>
      </c>
    </row>
    <row r="57" spans="1:22" x14ac:dyDescent="0.25">
      <c r="A57" t="s">
        <v>90</v>
      </c>
      <c r="B57" s="10" t="s">
        <v>85</v>
      </c>
      <c r="C57" s="1">
        <v>559</v>
      </c>
      <c r="D57" s="2">
        <v>0.75</v>
      </c>
      <c r="E57" s="6">
        <v>164</v>
      </c>
      <c r="F57" s="2">
        <f t="shared" si="6"/>
        <v>0.72580645161290325</v>
      </c>
      <c r="G57" s="3">
        <v>0.61</v>
      </c>
      <c r="H57" s="5">
        <v>107.96</v>
      </c>
      <c r="I57" s="2">
        <f t="shared" si="7"/>
        <v>0.56350626118067981</v>
      </c>
      <c r="J57" s="2">
        <f t="shared" si="8"/>
        <v>0.18962432915921287</v>
      </c>
      <c r="K57" s="2">
        <f t="shared" si="9"/>
        <v>8.2289803220035776E-2</v>
      </c>
      <c r="L57" s="2">
        <f t="shared" si="10"/>
        <v>0.16279069767441862</v>
      </c>
      <c r="M57" s="3">
        <v>0.2</v>
      </c>
      <c r="N57" s="11">
        <f t="shared" si="11"/>
        <v>0</v>
      </c>
      <c r="O57" s="1">
        <v>0</v>
      </c>
      <c r="P57" s="1">
        <v>19</v>
      </c>
      <c r="Q57" s="1">
        <v>315</v>
      </c>
      <c r="R57" s="1">
        <v>434</v>
      </c>
      <c r="S57" s="1">
        <v>106</v>
      </c>
      <c r="T57" s="1">
        <v>46</v>
      </c>
      <c r="U57" s="12">
        <v>91</v>
      </c>
      <c r="V57" s="23" t="s">
        <v>24</v>
      </c>
    </row>
    <row r="58" spans="1:22" x14ac:dyDescent="0.25">
      <c r="A58" t="s">
        <v>101</v>
      </c>
      <c r="B58" s="10" t="s">
        <v>99</v>
      </c>
      <c r="C58" s="1">
        <v>353</v>
      </c>
      <c r="D58" s="2">
        <v>0.69</v>
      </c>
      <c r="E58" s="6">
        <v>154.53</v>
      </c>
      <c r="F58" s="2">
        <f t="shared" si="6"/>
        <v>0.69395017793594305</v>
      </c>
      <c r="G58" s="3">
        <v>0.6</v>
      </c>
      <c r="H58" s="5">
        <v>89.35</v>
      </c>
      <c r="I58" s="2">
        <f t="shared" si="7"/>
        <v>0.55240793201133143</v>
      </c>
      <c r="J58" s="2">
        <f t="shared" si="8"/>
        <v>0.25212464589235128</v>
      </c>
      <c r="K58" s="2">
        <f t="shared" si="9"/>
        <v>6.5155807365439092E-2</v>
      </c>
      <c r="L58" s="2">
        <f t="shared" si="10"/>
        <v>0.13314447592067988</v>
      </c>
      <c r="M58" s="3">
        <v>0.14000000000000001</v>
      </c>
      <c r="N58" s="11">
        <f t="shared" si="11"/>
        <v>1.1331444759206799E-2</v>
      </c>
      <c r="O58" s="1">
        <v>4</v>
      </c>
      <c r="P58" s="1">
        <v>23</v>
      </c>
      <c r="Q58" s="1">
        <v>195</v>
      </c>
      <c r="R58" s="1">
        <v>281</v>
      </c>
      <c r="S58" s="1">
        <v>89</v>
      </c>
      <c r="T58" s="1">
        <v>23</v>
      </c>
      <c r="U58" s="12">
        <v>47</v>
      </c>
      <c r="V58" s="23" t="s">
        <v>24</v>
      </c>
    </row>
    <row r="59" spans="1:22" x14ac:dyDescent="0.25">
      <c r="A59" t="s">
        <v>103</v>
      </c>
      <c r="B59" s="10" t="s">
        <v>99</v>
      </c>
      <c r="C59" s="1">
        <v>320</v>
      </c>
      <c r="D59" s="2">
        <v>0.69</v>
      </c>
      <c r="E59" s="6">
        <v>145.88</v>
      </c>
      <c r="F59" s="2">
        <f t="shared" si="6"/>
        <v>0.61290322580645162</v>
      </c>
      <c r="G59" s="4">
        <v>0.66</v>
      </c>
      <c r="H59" s="5">
        <v>95.12</v>
      </c>
      <c r="I59" s="2">
        <f t="shared" si="7"/>
        <v>0.47499999999999998</v>
      </c>
      <c r="J59" s="2">
        <f t="shared" si="8"/>
        <v>0.21875</v>
      </c>
      <c r="K59" s="2">
        <f t="shared" si="9"/>
        <v>4.3749999999999997E-2</v>
      </c>
      <c r="L59" s="2">
        <f t="shared" si="10"/>
        <v>7.8125E-2</v>
      </c>
      <c r="M59" s="4">
        <v>0.16</v>
      </c>
      <c r="N59" s="11">
        <f t="shared" si="11"/>
        <v>0</v>
      </c>
      <c r="O59" s="1">
        <v>0</v>
      </c>
      <c r="P59" s="1">
        <v>16</v>
      </c>
      <c r="Q59" s="1">
        <v>152</v>
      </c>
      <c r="R59" s="1">
        <v>248</v>
      </c>
      <c r="S59" s="1">
        <v>70</v>
      </c>
      <c r="T59" s="1">
        <v>14</v>
      </c>
      <c r="U59" s="12">
        <v>25</v>
      </c>
      <c r="V59" s="23" t="s">
        <v>24</v>
      </c>
    </row>
    <row r="60" spans="1:22" x14ac:dyDescent="0.25">
      <c r="A60" t="s">
        <v>110</v>
      </c>
      <c r="B60" s="10" t="s">
        <v>83</v>
      </c>
      <c r="C60" s="1">
        <v>370</v>
      </c>
      <c r="D60" s="2">
        <v>0.68</v>
      </c>
      <c r="E60" s="6">
        <v>127.6</v>
      </c>
      <c r="F60" s="2">
        <f t="shared" si="6"/>
        <v>0.63059701492537312</v>
      </c>
      <c r="G60" s="3">
        <v>0.61</v>
      </c>
      <c r="H60" s="5">
        <v>82.81</v>
      </c>
      <c r="I60" s="2">
        <f t="shared" si="7"/>
        <v>0.45675675675675675</v>
      </c>
      <c r="J60" s="2">
        <f t="shared" si="8"/>
        <v>0.20270270270270271</v>
      </c>
      <c r="K60" s="2">
        <f t="shared" si="9"/>
        <v>5.1351351351351354E-2</v>
      </c>
      <c r="L60" s="2">
        <f t="shared" si="10"/>
        <v>7.0270270270270274E-2</v>
      </c>
      <c r="M60" s="3">
        <v>0.18</v>
      </c>
      <c r="N60" s="11">
        <f t="shared" si="11"/>
        <v>1.0810810810810811E-2</v>
      </c>
      <c r="O60" s="1">
        <v>4</v>
      </c>
      <c r="P60" s="1">
        <v>18</v>
      </c>
      <c r="Q60" s="1">
        <v>169</v>
      </c>
      <c r="R60" s="1">
        <v>268</v>
      </c>
      <c r="S60" s="1">
        <v>75</v>
      </c>
      <c r="T60" s="1">
        <v>19</v>
      </c>
      <c r="U60" s="12">
        <v>26</v>
      </c>
      <c r="V60" s="23" t="s">
        <v>24</v>
      </c>
    </row>
    <row r="61" spans="1:22" x14ac:dyDescent="0.25">
      <c r="A61" t="s">
        <v>77</v>
      </c>
      <c r="B61" s="10" t="s">
        <v>46</v>
      </c>
      <c r="C61" s="1">
        <v>659</v>
      </c>
      <c r="D61" s="2">
        <v>0.67</v>
      </c>
      <c r="E61" s="6">
        <v>116.68</v>
      </c>
      <c r="F61" s="2">
        <f t="shared" si="6"/>
        <v>0.52483801295896326</v>
      </c>
      <c r="G61" s="3">
        <v>0.66</v>
      </c>
      <c r="H61" s="5">
        <v>77.95</v>
      </c>
      <c r="I61" s="2">
        <f t="shared" si="7"/>
        <v>0.36874051593323215</v>
      </c>
      <c r="J61" s="2">
        <f t="shared" si="8"/>
        <v>0.28072837632776937</v>
      </c>
      <c r="K61" s="2">
        <f t="shared" si="9"/>
        <v>1.9726858877086494E-2</v>
      </c>
      <c r="L61" s="2">
        <f t="shared" si="10"/>
        <v>6.0698027314112293E-2</v>
      </c>
      <c r="M61" s="3">
        <v>0.16</v>
      </c>
      <c r="N61" s="11">
        <f t="shared" si="11"/>
        <v>6.0698027314112293E-3</v>
      </c>
      <c r="O61" s="1">
        <v>4</v>
      </c>
      <c r="P61" s="1">
        <v>14</v>
      </c>
      <c r="Q61" s="1">
        <v>243</v>
      </c>
      <c r="R61" s="1">
        <v>463</v>
      </c>
      <c r="S61" s="1">
        <v>185</v>
      </c>
      <c r="T61" s="1">
        <v>13</v>
      </c>
      <c r="U61" s="12">
        <v>40</v>
      </c>
      <c r="V61" s="23" t="s">
        <v>24</v>
      </c>
    </row>
    <row r="62" spans="1:22" x14ac:dyDescent="0.25">
      <c r="A62" s="13" t="s">
        <v>94</v>
      </c>
      <c r="B62" s="14" t="s">
        <v>93</v>
      </c>
      <c r="C62" s="15">
        <v>480</v>
      </c>
      <c r="D62" s="16">
        <v>0.65</v>
      </c>
      <c r="E62" s="17">
        <v>108.03</v>
      </c>
      <c r="F62" s="16">
        <f t="shared" si="6"/>
        <v>0.5400593471810089</v>
      </c>
      <c r="G62" s="18">
        <v>0.66</v>
      </c>
      <c r="H62" s="19">
        <v>73.14</v>
      </c>
      <c r="I62" s="16">
        <f t="shared" si="7"/>
        <v>0.37916666666666665</v>
      </c>
      <c r="J62" s="16">
        <f t="shared" si="8"/>
        <v>0.25</v>
      </c>
      <c r="K62" s="16">
        <f t="shared" si="9"/>
        <v>2.2916666666666665E-2</v>
      </c>
      <c r="L62" s="16">
        <f t="shared" si="10"/>
        <v>6.25E-2</v>
      </c>
      <c r="M62" s="18">
        <v>0.22</v>
      </c>
      <c r="N62" s="20">
        <f t="shared" si="11"/>
        <v>8.3333333333333332E-3</v>
      </c>
      <c r="O62" s="15">
        <v>4</v>
      </c>
      <c r="P62" s="15">
        <v>18</v>
      </c>
      <c r="Q62" s="15">
        <v>182</v>
      </c>
      <c r="R62" s="15">
        <v>337</v>
      </c>
      <c r="S62" s="15">
        <v>120</v>
      </c>
      <c r="T62" s="15">
        <v>11</v>
      </c>
      <c r="U62" s="21">
        <v>30</v>
      </c>
      <c r="V62" s="24" t="s">
        <v>24</v>
      </c>
    </row>
  </sheetData>
  <autoFilter ref="A1:V1" xr:uid="{00000000-0009-0000-0000-000001000000}">
    <sortState xmlns:xlrd2="http://schemas.microsoft.com/office/spreadsheetml/2017/richdata2" ref="A2:V62">
      <sortCondition descending="1" ref="D1:D62"/>
    </sortState>
  </autoFilter>
  <conditionalFormatting sqref="C1:C61 C63:C1048576">
    <cfRule type="top10" dxfId="15" priority="17" rank="1"/>
  </conditionalFormatting>
  <conditionalFormatting sqref="D2:D6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max"/>
        <color rgb="FFFFEF9C"/>
        <color rgb="FF63BE7B"/>
      </colorScale>
    </cfRule>
  </conditionalFormatting>
  <conditionalFormatting sqref="E2:E6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max"/>
        <color rgb="FFFFEF9C"/>
        <color rgb="FF63BE7B"/>
      </colorScale>
    </cfRule>
  </conditionalFormatting>
  <conditionalFormatting sqref="F2:F6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max"/>
        <color rgb="FFFFEF9C"/>
        <color rgb="FF63BE7B"/>
      </colorScale>
    </cfRule>
  </conditionalFormatting>
  <conditionalFormatting sqref="G2:G6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</conditionalFormatting>
  <conditionalFormatting sqref="H2:H6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6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1">
    <cfRule type="top10" dxfId="14" priority="16" rank="1"/>
  </conditionalFormatting>
  <conditionalFormatting sqref="P2:P61">
    <cfRule type="top10" dxfId="13" priority="23" rank="1"/>
  </conditionalFormatting>
  <conditionalFormatting sqref="Q2:Q61">
    <cfRule type="top10" dxfId="12" priority="22" rank="1"/>
  </conditionalFormatting>
  <conditionalFormatting sqref="R2:R61">
    <cfRule type="top10" dxfId="11" priority="21" bottom="1" rank="1"/>
  </conditionalFormatting>
  <conditionalFormatting sqref="S2:S61">
    <cfRule type="top10" dxfId="10" priority="20" rank="1"/>
  </conditionalFormatting>
  <conditionalFormatting sqref="T2:T61">
    <cfRule type="top10" dxfId="9" priority="19" rank="1"/>
  </conditionalFormatting>
  <conditionalFormatting sqref="U2:U61">
    <cfRule type="top10" dxfId="8" priority="18" bottom="1" rank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2"/>
  <sheetViews>
    <sheetView tabSelected="1" workbookViewId="0">
      <selection activeCell="O22" sqref="O22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2.42578125" bestFit="1" customWidth="1"/>
    <col min="4" max="4" width="9.42578125" bestFit="1" customWidth="1"/>
    <col min="5" max="5" width="9.28515625" bestFit="1" customWidth="1"/>
    <col min="6" max="6" width="8.7109375" bestFit="1" customWidth="1"/>
    <col min="7" max="7" width="10" bestFit="1" customWidth="1"/>
    <col min="8" max="8" width="9.42578125" bestFit="1" customWidth="1"/>
    <col min="11" max="11" width="10.140625" bestFit="1" customWidth="1"/>
    <col min="12" max="12" width="10.42578125" bestFit="1" customWidth="1"/>
    <col min="13" max="13" width="9.7109375" bestFit="1" customWidth="1"/>
    <col min="14" max="14" width="9.5703125" bestFit="1" customWidth="1"/>
    <col min="15" max="15" width="8" bestFit="1" customWidth="1"/>
    <col min="16" max="16" width="10.5703125" bestFit="1" customWidth="1"/>
  </cols>
  <sheetData>
    <row r="1" spans="1:22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8" t="s">
        <v>21</v>
      </c>
    </row>
    <row r="2" spans="1:22" x14ac:dyDescent="0.25">
      <c r="A2" t="s">
        <v>22</v>
      </c>
      <c r="B2" s="10" t="s">
        <v>23</v>
      </c>
      <c r="C2" s="1">
        <v>215</v>
      </c>
      <c r="D2" s="2">
        <v>1.35</v>
      </c>
      <c r="E2" s="6">
        <v>268.07</v>
      </c>
      <c r="F2" s="2">
        <f t="shared" ref="F2:F32" si="0">Q2/R2</f>
        <v>1.4130434782608696</v>
      </c>
      <c r="G2" s="3">
        <v>0.79</v>
      </c>
      <c r="H2" s="5">
        <v>188.69</v>
      </c>
      <c r="I2" s="2">
        <f t="shared" ref="I2:I32" si="1">Q2/C2</f>
        <v>0.90697674418604646</v>
      </c>
      <c r="J2" s="2">
        <f t="shared" ref="J2:J32" si="2">S2/C2</f>
        <v>0.35348837209302325</v>
      </c>
      <c r="K2" s="2">
        <f t="shared" ref="K2:K32" si="3">T2/C2</f>
        <v>0.10232558139534884</v>
      </c>
      <c r="L2" s="2">
        <f t="shared" ref="L2:L32" si="4">U2/C2</f>
        <v>6.9767441860465115E-2</v>
      </c>
      <c r="M2" s="3">
        <v>0.27</v>
      </c>
      <c r="N2" s="11">
        <f t="shared" ref="N2:N32" si="5">O2/C2</f>
        <v>9.3023255813953487E-3</v>
      </c>
      <c r="O2" s="1">
        <v>2</v>
      </c>
      <c r="P2" s="1">
        <v>32</v>
      </c>
      <c r="Q2" s="1">
        <v>195</v>
      </c>
      <c r="R2" s="1">
        <v>138</v>
      </c>
      <c r="S2" s="1">
        <v>76</v>
      </c>
      <c r="T2" s="1">
        <v>22</v>
      </c>
      <c r="U2" s="12">
        <v>15</v>
      </c>
      <c r="V2" s="23" t="s">
        <v>24</v>
      </c>
    </row>
    <row r="3" spans="1:22" x14ac:dyDescent="0.25">
      <c r="A3" t="s">
        <v>25</v>
      </c>
      <c r="B3" s="10" t="s">
        <v>26</v>
      </c>
      <c r="C3" s="1">
        <v>177</v>
      </c>
      <c r="D3" s="2">
        <v>1.31</v>
      </c>
      <c r="E3" s="6">
        <v>307.81</v>
      </c>
      <c r="F3" s="2">
        <f t="shared" si="0"/>
        <v>1.4029850746268657</v>
      </c>
      <c r="G3" s="3">
        <v>0.75</v>
      </c>
      <c r="H3" s="5">
        <v>196.09</v>
      </c>
      <c r="I3" s="2">
        <f t="shared" si="1"/>
        <v>1.0621468926553672</v>
      </c>
      <c r="J3" s="2">
        <f t="shared" si="2"/>
        <v>0.23163841807909605</v>
      </c>
      <c r="K3" s="2">
        <f t="shared" si="3"/>
        <v>0.19209039548022599</v>
      </c>
      <c r="L3" s="2">
        <f t="shared" si="4"/>
        <v>0.12429378531073447</v>
      </c>
      <c r="M3" s="3">
        <v>0.25</v>
      </c>
      <c r="N3" s="11">
        <f t="shared" si="5"/>
        <v>5.6497175141242938E-3</v>
      </c>
      <c r="O3" s="1">
        <v>1</v>
      </c>
      <c r="P3" s="1">
        <v>48</v>
      </c>
      <c r="Q3" s="1">
        <v>188</v>
      </c>
      <c r="R3" s="1">
        <v>134</v>
      </c>
      <c r="S3" s="1">
        <v>41</v>
      </c>
      <c r="T3" s="1">
        <v>34</v>
      </c>
      <c r="U3" s="12">
        <v>22</v>
      </c>
      <c r="V3" s="25" t="s">
        <v>27</v>
      </c>
    </row>
    <row r="4" spans="1:22" x14ac:dyDescent="0.25">
      <c r="A4" t="s">
        <v>28</v>
      </c>
      <c r="B4" s="10" t="s">
        <v>23</v>
      </c>
      <c r="C4" s="1">
        <v>215</v>
      </c>
      <c r="D4" s="2">
        <v>1.18</v>
      </c>
      <c r="E4" s="6">
        <v>255.69</v>
      </c>
      <c r="F4" s="2">
        <f t="shared" si="0"/>
        <v>1.2727272727272727</v>
      </c>
      <c r="G4" s="3">
        <v>0.73</v>
      </c>
      <c r="H4" s="5">
        <v>164.86</v>
      </c>
      <c r="I4" s="2">
        <f t="shared" si="1"/>
        <v>0.91162790697674423</v>
      </c>
      <c r="J4" s="2">
        <f t="shared" si="2"/>
        <v>0.22790697674418606</v>
      </c>
      <c r="K4" s="2">
        <f t="shared" si="3"/>
        <v>0.13953488372093023</v>
      </c>
      <c r="L4" s="2">
        <f t="shared" si="4"/>
        <v>0.13023255813953488</v>
      </c>
      <c r="M4" s="3">
        <v>0.44</v>
      </c>
      <c r="N4" s="11">
        <f t="shared" si="5"/>
        <v>0</v>
      </c>
      <c r="O4" s="1">
        <v>0</v>
      </c>
      <c r="P4" s="1">
        <v>30</v>
      </c>
      <c r="Q4" s="1">
        <v>196</v>
      </c>
      <c r="R4" s="1">
        <v>154</v>
      </c>
      <c r="S4" s="1">
        <v>49</v>
      </c>
      <c r="T4" s="1">
        <v>30</v>
      </c>
      <c r="U4" s="12">
        <v>28</v>
      </c>
      <c r="V4" s="26" t="s">
        <v>29</v>
      </c>
    </row>
    <row r="5" spans="1:22" x14ac:dyDescent="0.25">
      <c r="A5" t="s">
        <v>30</v>
      </c>
      <c r="B5" s="10" t="s">
        <v>31</v>
      </c>
      <c r="C5" s="1">
        <v>52</v>
      </c>
      <c r="D5" s="2">
        <v>1.1499999999999999</v>
      </c>
      <c r="E5" s="6">
        <v>224.35</v>
      </c>
      <c r="F5" s="2">
        <f t="shared" si="0"/>
        <v>1.2432432432432432</v>
      </c>
      <c r="G5" s="3">
        <v>0.67</v>
      </c>
      <c r="H5" s="5">
        <v>169.35</v>
      </c>
      <c r="I5" s="2">
        <f t="shared" si="1"/>
        <v>0.88461538461538458</v>
      </c>
      <c r="J5" s="2">
        <f t="shared" si="2"/>
        <v>0.15384615384615385</v>
      </c>
      <c r="K5" s="2">
        <f t="shared" si="3"/>
        <v>0.15384615384615385</v>
      </c>
      <c r="L5" s="2">
        <f t="shared" si="4"/>
        <v>7.6923076923076927E-2</v>
      </c>
      <c r="M5" s="3">
        <v>0.27</v>
      </c>
      <c r="N5" s="11">
        <f t="shared" si="5"/>
        <v>3.8461538461538464E-2</v>
      </c>
      <c r="O5" s="1">
        <v>2</v>
      </c>
      <c r="P5" s="1">
        <v>30</v>
      </c>
      <c r="Q5" s="1">
        <v>46</v>
      </c>
      <c r="R5" s="1">
        <v>37</v>
      </c>
      <c r="S5" s="1">
        <v>8</v>
      </c>
      <c r="T5" s="1">
        <v>8</v>
      </c>
      <c r="U5" s="12">
        <v>4</v>
      </c>
      <c r="V5" s="25" t="s">
        <v>32</v>
      </c>
    </row>
    <row r="6" spans="1:22" x14ac:dyDescent="0.25">
      <c r="A6" t="s">
        <v>33</v>
      </c>
      <c r="B6" s="10" t="s">
        <v>26</v>
      </c>
      <c r="C6" s="1">
        <v>177</v>
      </c>
      <c r="D6" s="2">
        <v>1.1299999999999999</v>
      </c>
      <c r="E6" s="6">
        <v>203.88</v>
      </c>
      <c r="F6" s="2">
        <f t="shared" si="0"/>
        <v>1.2616822429906542</v>
      </c>
      <c r="G6" s="3">
        <v>0.74</v>
      </c>
      <c r="H6" s="5">
        <v>130.68</v>
      </c>
      <c r="I6" s="2">
        <f t="shared" si="1"/>
        <v>0.76271186440677963</v>
      </c>
      <c r="J6" s="2">
        <f t="shared" si="2"/>
        <v>0.32203389830508472</v>
      </c>
      <c r="K6" s="2">
        <f t="shared" si="3"/>
        <v>7.3446327683615822E-2</v>
      </c>
      <c r="L6" s="2">
        <f t="shared" si="4"/>
        <v>6.2146892655367235E-2</v>
      </c>
      <c r="M6" s="3">
        <v>0.23</v>
      </c>
      <c r="N6" s="11">
        <f t="shared" si="5"/>
        <v>2.8248587570621469E-2</v>
      </c>
      <c r="O6" s="1">
        <v>5</v>
      </c>
      <c r="P6" s="1">
        <v>31</v>
      </c>
      <c r="Q6" s="1">
        <v>135</v>
      </c>
      <c r="R6" s="1">
        <v>107</v>
      </c>
      <c r="S6" s="1">
        <v>57</v>
      </c>
      <c r="T6" s="1">
        <v>13</v>
      </c>
      <c r="U6" s="12">
        <v>11</v>
      </c>
      <c r="V6" s="25" t="s">
        <v>34</v>
      </c>
    </row>
    <row r="7" spans="1:22" x14ac:dyDescent="0.25">
      <c r="A7" t="s">
        <v>35</v>
      </c>
      <c r="B7" s="10" t="s">
        <v>36</v>
      </c>
      <c r="C7" s="1">
        <v>148</v>
      </c>
      <c r="D7" s="2">
        <v>1.1100000000000001</v>
      </c>
      <c r="E7" s="6">
        <v>243.73</v>
      </c>
      <c r="F7" s="2">
        <f t="shared" si="0"/>
        <v>1.2169811320754718</v>
      </c>
      <c r="G7" s="3">
        <v>0.66</v>
      </c>
      <c r="H7" s="5">
        <v>159.19999999999999</v>
      </c>
      <c r="I7" s="2">
        <f t="shared" si="1"/>
        <v>0.8716216216216216</v>
      </c>
      <c r="J7" s="2">
        <f t="shared" si="2"/>
        <v>0.19594594594594594</v>
      </c>
      <c r="K7" s="2">
        <f t="shared" si="3"/>
        <v>0.23648648648648649</v>
      </c>
      <c r="L7" s="2">
        <f t="shared" si="4"/>
        <v>0.20270270270270271</v>
      </c>
      <c r="M7" s="3">
        <v>0.32</v>
      </c>
      <c r="N7" s="11">
        <f t="shared" si="5"/>
        <v>2.0270270270270271E-2</v>
      </c>
      <c r="O7" s="1">
        <v>3</v>
      </c>
      <c r="P7" s="1">
        <v>34</v>
      </c>
      <c r="Q7" s="1">
        <v>129</v>
      </c>
      <c r="R7" s="1">
        <v>106</v>
      </c>
      <c r="S7" s="1">
        <v>29</v>
      </c>
      <c r="T7" s="1">
        <v>35</v>
      </c>
      <c r="U7" s="12">
        <v>30</v>
      </c>
      <c r="V7" s="25" t="s">
        <v>37</v>
      </c>
    </row>
    <row r="8" spans="1:22" x14ac:dyDescent="0.25">
      <c r="A8" t="s">
        <v>38</v>
      </c>
      <c r="B8" s="10" t="s">
        <v>26</v>
      </c>
      <c r="C8" s="1">
        <v>177</v>
      </c>
      <c r="D8" s="2">
        <v>1.1100000000000001</v>
      </c>
      <c r="E8" s="6">
        <v>224.34</v>
      </c>
      <c r="F8" s="2">
        <f t="shared" si="0"/>
        <v>1.228813559322034</v>
      </c>
      <c r="G8" s="3">
        <v>0.72</v>
      </c>
      <c r="H8" s="5">
        <v>144.54</v>
      </c>
      <c r="I8" s="2">
        <f t="shared" si="1"/>
        <v>0.8192090395480226</v>
      </c>
      <c r="J8" s="2">
        <f t="shared" si="2"/>
        <v>0.20903954802259886</v>
      </c>
      <c r="K8" s="2">
        <f t="shared" si="3"/>
        <v>0.11299435028248588</v>
      </c>
      <c r="L8" s="2">
        <f t="shared" si="4"/>
        <v>0.13559322033898305</v>
      </c>
      <c r="M8" s="3">
        <v>0.25</v>
      </c>
      <c r="N8" s="11">
        <f t="shared" si="5"/>
        <v>1.1299435028248588E-2</v>
      </c>
      <c r="O8" s="1">
        <v>2</v>
      </c>
      <c r="P8" s="1">
        <v>27</v>
      </c>
      <c r="Q8" s="1">
        <v>145</v>
      </c>
      <c r="R8" s="1">
        <v>118</v>
      </c>
      <c r="S8" s="1">
        <v>37</v>
      </c>
      <c r="T8" s="1">
        <v>20</v>
      </c>
      <c r="U8" s="12">
        <v>24</v>
      </c>
      <c r="V8" s="25" t="s">
        <v>39</v>
      </c>
    </row>
    <row r="9" spans="1:22" x14ac:dyDescent="0.25">
      <c r="A9" t="s">
        <v>40</v>
      </c>
      <c r="B9" s="10" t="s">
        <v>41</v>
      </c>
      <c r="C9" s="1">
        <v>179</v>
      </c>
      <c r="D9" s="2">
        <v>1.0900000000000001</v>
      </c>
      <c r="E9" s="6">
        <v>250.59</v>
      </c>
      <c r="F9" s="2">
        <f t="shared" si="0"/>
        <v>1.125</v>
      </c>
      <c r="G9" s="3">
        <v>0.71</v>
      </c>
      <c r="H9" s="5">
        <v>159.26</v>
      </c>
      <c r="I9" s="2">
        <f t="shared" si="1"/>
        <v>0.85474860335195535</v>
      </c>
      <c r="J9" s="2">
        <f t="shared" si="2"/>
        <v>0.23463687150837989</v>
      </c>
      <c r="K9" s="2">
        <f t="shared" si="3"/>
        <v>0.18435754189944134</v>
      </c>
      <c r="L9" s="2">
        <f t="shared" si="4"/>
        <v>0.13966480446927373</v>
      </c>
      <c r="M9" s="3">
        <v>0.18</v>
      </c>
      <c r="N9" s="11">
        <f t="shared" si="5"/>
        <v>0</v>
      </c>
      <c r="O9" s="1">
        <v>0</v>
      </c>
      <c r="P9" s="1">
        <v>33</v>
      </c>
      <c r="Q9" s="1">
        <v>153</v>
      </c>
      <c r="R9" s="1">
        <v>136</v>
      </c>
      <c r="S9" s="1">
        <v>42</v>
      </c>
      <c r="T9" s="1">
        <v>33</v>
      </c>
      <c r="U9" s="12">
        <v>25</v>
      </c>
      <c r="V9" s="26" t="s">
        <v>42</v>
      </c>
    </row>
    <row r="10" spans="1:22" x14ac:dyDescent="0.25">
      <c r="A10" t="s">
        <v>43</v>
      </c>
      <c r="B10" s="10" t="s">
        <v>31</v>
      </c>
      <c r="C10" s="1">
        <v>52</v>
      </c>
      <c r="D10" s="2">
        <v>1.0900000000000001</v>
      </c>
      <c r="E10" s="6">
        <v>238.77</v>
      </c>
      <c r="F10" s="2">
        <f t="shared" si="0"/>
        <v>1.2105263157894737</v>
      </c>
      <c r="G10" s="3">
        <v>0.73</v>
      </c>
      <c r="H10" s="5">
        <v>150.28</v>
      </c>
      <c r="I10" s="2">
        <f t="shared" si="1"/>
        <v>0.88461538461538458</v>
      </c>
      <c r="J10" s="2">
        <f t="shared" si="2"/>
        <v>9.6153846153846159E-2</v>
      </c>
      <c r="K10" s="2">
        <f t="shared" si="3"/>
        <v>0.15384615384615385</v>
      </c>
      <c r="L10" s="2">
        <f t="shared" si="4"/>
        <v>7.6923076923076927E-2</v>
      </c>
      <c r="M10" s="3">
        <v>0.37</v>
      </c>
      <c r="N10" s="11">
        <f t="shared" si="5"/>
        <v>0</v>
      </c>
      <c r="O10" s="1">
        <v>0</v>
      </c>
      <c r="P10" s="1">
        <v>25</v>
      </c>
      <c r="Q10" s="1">
        <v>46</v>
      </c>
      <c r="R10" s="1">
        <v>38</v>
      </c>
      <c r="S10" s="1">
        <v>5</v>
      </c>
      <c r="T10" s="1">
        <v>8</v>
      </c>
      <c r="U10" s="12">
        <v>4</v>
      </c>
      <c r="V10" s="25" t="s">
        <v>44</v>
      </c>
    </row>
    <row r="11" spans="1:22" x14ac:dyDescent="0.25">
      <c r="A11" t="s">
        <v>45</v>
      </c>
      <c r="B11" s="10" t="s">
        <v>46</v>
      </c>
      <c r="C11" s="1">
        <v>45</v>
      </c>
      <c r="D11" s="1">
        <v>1.08</v>
      </c>
      <c r="E11" s="6">
        <v>253.93</v>
      </c>
      <c r="F11" s="2">
        <f t="shared" si="0"/>
        <v>1.25</v>
      </c>
      <c r="G11" s="4">
        <v>0.66</v>
      </c>
      <c r="H11" s="5">
        <v>153.84</v>
      </c>
      <c r="I11" s="2">
        <f t="shared" si="1"/>
        <v>0.88888888888888884</v>
      </c>
      <c r="J11" s="2">
        <f t="shared" si="2"/>
        <v>4.4444444444444446E-2</v>
      </c>
      <c r="K11" s="2">
        <f t="shared" si="3"/>
        <v>0.22222222222222221</v>
      </c>
      <c r="L11" s="2">
        <f t="shared" si="4"/>
        <v>0.1111111111111111</v>
      </c>
      <c r="M11" s="4">
        <v>0.22</v>
      </c>
      <c r="N11" s="11">
        <f t="shared" si="5"/>
        <v>2.2222222222222223E-2</v>
      </c>
      <c r="O11" s="1">
        <v>1</v>
      </c>
      <c r="P11" s="1">
        <v>22</v>
      </c>
      <c r="Q11" s="1">
        <v>40</v>
      </c>
      <c r="R11" s="1">
        <v>32</v>
      </c>
      <c r="S11" s="1">
        <v>2</v>
      </c>
      <c r="T11" s="1">
        <v>10</v>
      </c>
      <c r="U11" s="12">
        <v>5</v>
      </c>
      <c r="V11" s="25" t="s">
        <v>47</v>
      </c>
    </row>
    <row r="12" spans="1:22" x14ac:dyDescent="0.25">
      <c r="A12" t="s">
        <v>48</v>
      </c>
      <c r="B12" s="10" t="s">
        <v>46</v>
      </c>
      <c r="C12" s="1">
        <v>45</v>
      </c>
      <c r="D12" s="2">
        <v>1.05</v>
      </c>
      <c r="E12" s="6">
        <v>238.07</v>
      </c>
      <c r="F12" s="2">
        <f t="shared" si="0"/>
        <v>1.0285714285714285</v>
      </c>
      <c r="G12" s="3">
        <v>0.73</v>
      </c>
      <c r="H12" s="5">
        <v>158.41</v>
      </c>
      <c r="I12" s="2">
        <f t="shared" si="1"/>
        <v>0.8</v>
      </c>
      <c r="J12" s="2">
        <f t="shared" si="2"/>
        <v>0.24444444444444444</v>
      </c>
      <c r="K12" s="2">
        <f t="shared" si="3"/>
        <v>6.6666666666666666E-2</v>
      </c>
      <c r="L12" s="2">
        <f t="shared" si="4"/>
        <v>4.4444444444444446E-2</v>
      </c>
      <c r="M12" s="3">
        <v>0.14000000000000001</v>
      </c>
      <c r="N12" s="11">
        <f t="shared" si="5"/>
        <v>2.2222222222222223E-2</v>
      </c>
      <c r="O12" s="1">
        <v>1</v>
      </c>
      <c r="P12" s="1">
        <v>21</v>
      </c>
      <c r="Q12" s="1">
        <v>36</v>
      </c>
      <c r="R12" s="1">
        <v>35</v>
      </c>
      <c r="S12" s="1">
        <v>11</v>
      </c>
      <c r="T12" s="1">
        <v>3</v>
      </c>
      <c r="U12" s="12">
        <v>2</v>
      </c>
      <c r="V12" s="25" t="s">
        <v>47</v>
      </c>
    </row>
    <row r="13" spans="1:22" x14ac:dyDescent="0.25">
      <c r="A13" t="s">
        <v>49</v>
      </c>
      <c r="B13" s="10" t="s">
        <v>26</v>
      </c>
      <c r="C13" s="1">
        <v>177</v>
      </c>
      <c r="D13" s="2">
        <v>1.04</v>
      </c>
      <c r="E13" s="6">
        <v>206.18</v>
      </c>
      <c r="F13" s="2">
        <f t="shared" si="0"/>
        <v>1.032258064516129</v>
      </c>
      <c r="G13" s="3">
        <v>0.78</v>
      </c>
      <c r="H13" s="5">
        <v>125</v>
      </c>
      <c r="I13" s="2">
        <f t="shared" si="1"/>
        <v>0.7231638418079096</v>
      </c>
      <c r="J13" s="2">
        <f t="shared" si="2"/>
        <v>0.3672316384180791</v>
      </c>
      <c r="K13" s="2">
        <f t="shared" si="3"/>
        <v>0.13559322033898305</v>
      </c>
      <c r="L13" s="2">
        <f t="shared" si="4"/>
        <v>0.10169491525423729</v>
      </c>
      <c r="M13" s="3">
        <v>0.16</v>
      </c>
      <c r="N13" s="11">
        <f t="shared" si="5"/>
        <v>0</v>
      </c>
      <c r="O13" s="1">
        <v>0</v>
      </c>
      <c r="P13" s="1">
        <v>23</v>
      </c>
      <c r="Q13" s="1">
        <v>128</v>
      </c>
      <c r="R13" s="1">
        <v>124</v>
      </c>
      <c r="S13" s="1">
        <v>65</v>
      </c>
      <c r="T13" s="1">
        <v>24</v>
      </c>
      <c r="U13" s="12">
        <v>18</v>
      </c>
      <c r="V13" s="26" t="s">
        <v>29</v>
      </c>
    </row>
    <row r="14" spans="1:22" x14ac:dyDescent="0.25">
      <c r="A14" t="s">
        <v>50</v>
      </c>
      <c r="B14" s="10" t="s">
        <v>41</v>
      </c>
      <c r="C14" s="1">
        <v>137</v>
      </c>
      <c r="D14" s="2">
        <v>0.99</v>
      </c>
      <c r="E14" s="6">
        <v>183.54</v>
      </c>
      <c r="F14" s="2">
        <f t="shared" si="0"/>
        <v>1.0470588235294118</v>
      </c>
      <c r="G14" s="4">
        <v>0.74</v>
      </c>
      <c r="H14" s="5">
        <v>121.7</v>
      </c>
      <c r="I14" s="2">
        <f t="shared" si="1"/>
        <v>0.64963503649635035</v>
      </c>
      <c r="J14" s="2">
        <f t="shared" si="2"/>
        <v>0.13868613138686131</v>
      </c>
      <c r="K14" s="2">
        <f t="shared" si="3"/>
        <v>5.1094890510948905E-2</v>
      </c>
      <c r="L14" s="2">
        <f t="shared" si="4"/>
        <v>7.2992700729927001E-2</v>
      </c>
      <c r="M14" s="4">
        <v>0.2</v>
      </c>
      <c r="N14" s="11">
        <f t="shared" si="5"/>
        <v>0</v>
      </c>
      <c r="O14" s="1">
        <v>0</v>
      </c>
      <c r="P14" s="1">
        <v>21</v>
      </c>
      <c r="Q14" s="1">
        <v>89</v>
      </c>
      <c r="R14" s="1">
        <v>85</v>
      </c>
      <c r="S14" s="1">
        <v>19</v>
      </c>
      <c r="T14" s="1">
        <v>7</v>
      </c>
      <c r="U14" s="12">
        <v>10</v>
      </c>
      <c r="V14" s="26" t="s">
        <v>51</v>
      </c>
    </row>
    <row r="15" spans="1:22" x14ac:dyDescent="0.25">
      <c r="A15" t="s">
        <v>52</v>
      </c>
      <c r="B15" s="10" t="s">
        <v>41</v>
      </c>
      <c r="C15" s="1">
        <v>179</v>
      </c>
      <c r="D15" s="2">
        <v>0.98</v>
      </c>
      <c r="E15" s="6">
        <v>228.8</v>
      </c>
      <c r="F15" s="2">
        <f t="shared" si="0"/>
        <v>0.95833333333333337</v>
      </c>
      <c r="G15" s="3">
        <v>0.71</v>
      </c>
      <c r="H15" s="5">
        <v>148.25</v>
      </c>
      <c r="I15" s="2">
        <f t="shared" si="1"/>
        <v>0.77094972067039103</v>
      </c>
      <c r="J15" s="2">
        <f t="shared" si="2"/>
        <v>0.23463687150837989</v>
      </c>
      <c r="K15" s="2">
        <f t="shared" si="3"/>
        <v>0.14525139664804471</v>
      </c>
      <c r="L15" s="2">
        <f t="shared" si="4"/>
        <v>0.13407821229050279</v>
      </c>
      <c r="M15" s="3">
        <v>0.26</v>
      </c>
      <c r="N15" s="11">
        <f t="shared" si="5"/>
        <v>0</v>
      </c>
      <c r="O15" s="1">
        <v>0</v>
      </c>
      <c r="P15" s="1">
        <v>32</v>
      </c>
      <c r="Q15" s="1">
        <v>138</v>
      </c>
      <c r="R15" s="1">
        <v>144</v>
      </c>
      <c r="S15" s="1">
        <v>42</v>
      </c>
      <c r="T15" s="1">
        <v>26</v>
      </c>
      <c r="U15" s="12">
        <v>24</v>
      </c>
      <c r="V15" s="26" t="s">
        <v>53</v>
      </c>
    </row>
    <row r="16" spans="1:22" x14ac:dyDescent="0.25">
      <c r="A16" t="s">
        <v>54</v>
      </c>
      <c r="B16" s="10" t="s">
        <v>36</v>
      </c>
      <c r="C16" s="1">
        <v>148</v>
      </c>
      <c r="D16" s="2">
        <v>0.95</v>
      </c>
      <c r="E16" s="6">
        <v>199.39</v>
      </c>
      <c r="F16" s="2">
        <f t="shared" si="0"/>
        <v>0.9363636363636364</v>
      </c>
      <c r="G16" s="3">
        <v>0.72</v>
      </c>
      <c r="H16" s="5">
        <v>134.04</v>
      </c>
      <c r="I16" s="2">
        <f t="shared" si="1"/>
        <v>0.69594594594594594</v>
      </c>
      <c r="J16" s="2">
        <f t="shared" si="2"/>
        <v>0.20270270270270271</v>
      </c>
      <c r="K16" s="2">
        <f t="shared" si="3"/>
        <v>8.1081081081081086E-2</v>
      </c>
      <c r="L16" s="2">
        <f t="shared" si="4"/>
        <v>4.0540540540540543E-2</v>
      </c>
      <c r="M16" s="3">
        <v>0.34</v>
      </c>
      <c r="N16" s="11">
        <f t="shared" si="5"/>
        <v>0</v>
      </c>
      <c r="O16" s="1">
        <v>0</v>
      </c>
      <c r="P16" s="1">
        <v>23</v>
      </c>
      <c r="Q16" s="1">
        <v>103</v>
      </c>
      <c r="R16" s="1">
        <v>110</v>
      </c>
      <c r="S16" s="1">
        <v>30</v>
      </c>
      <c r="T16" s="1">
        <v>12</v>
      </c>
      <c r="U16" s="12">
        <v>6</v>
      </c>
      <c r="V16" s="25" t="s">
        <v>55</v>
      </c>
    </row>
    <row r="17" spans="1:22" x14ac:dyDescent="0.25">
      <c r="A17" t="s">
        <v>56</v>
      </c>
      <c r="B17" s="10" t="s">
        <v>23</v>
      </c>
      <c r="C17" s="1">
        <v>215</v>
      </c>
      <c r="D17" s="2">
        <v>0.94</v>
      </c>
      <c r="E17" s="6">
        <v>208.27</v>
      </c>
      <c r="F17" s="2">
        <f t="shared" si="0"/>
        <v>0.98148148148148151</v>
      </c>
      <c r="G17" s="3">
        <v>0.69</v>
      </c>
      <c r="H17" s="5">
        <v>134.5</v>
      </c>
      <c r="I17" s="2">
        <f t="shared" si="1"/>
        <v>0.73953488372093024</v>
      </c>
      <c r="J17" s="2">
        <f t="shared" si="2"/>
        <v>0.13488372093023257</v>
      </c>
      <c r="K17" s="2">
        <f t="shared" si="3"/>
        <v>0.12558139534883722</v>
      </c>
      <c r="L17" s="2">
        <f t="shared" si="4"/>
        <v>0.16744186046511628</v>
      </c>
      <c r="M17" s="3">
        <v>0.34</v>
      </c>
      <c r="N17" s="11">
        <f t="shared" si="5"/>
        <v>0</v>
      </c>
      <c r="O17" s="1">
        <v>0</v>
      </c>
      <c r="P17" s="1">
        <v>26</v>
      </c>
      <c r="Q17" s="1">
        <v>159</v>
      </c>
      <c r="R17" s="1">
        <v>162</v>
      </c>
      <c r="S17" s="1">
        <v>29</v>
      </c>
      <c r="T17" s="1">
        <v>27</v>
      </c>
      <c r="U17" s="12">
        <v>36</v>
      </c>
      <c r="V17" s="26" t="s">
        <v>57</v>
      </c>
    </row>
    <row r="18" spans="1:22" x14ac:dyDescent="0.25">
      <c r="A18" t="s">
        <v>58</v>
      </c>
      <c r="B18" s="10" t="s">
        <v>31</v>
      </c>
      <c r="C18" s="1">
        <v>52</v>
      </c>
      <c r="D18" s="2">
        <v>0.92</v>
      </c>
      <c r="E18" s="6">
        <v>202.35</v>
      </c>
      <c r="F18" s="2">
        <f t="shared" si="0"/>
        <v>0.80487804878048785</v>
      </c>
      <c r="G18" s="3">
        <v>0.71</v>
      </c>
      <c r="H18" s="5">
        <v>142.12</v>
      </c>
      <c r="I18" s="2">
        <f t="shared" si="1"/>
        <v>0.63461538461538458</v>
      </c>
      <c r="J18" s="2">
        <f t="shared" si="2"/>
        <v>0.30769230769230771</v>
      </c>
      <c r="K18" s="2">
        <f t="shared" si="3"/>
        <v>0.13461538461538461</v>
      </c>
      <c r="L18" s="2">
        <f t="shared" si="4"/>
        <v>0.11538461538461539</v>
      </c>
      <c r="M18" s="3">
        <v>0.15</v>
      </c>
      <c r="N18" s="11">
        <f t="shared" si="5"/>
        <v>0</v>
      </c>
      <c r="O18" s="1">
        <v>0</v>
      </c>
      <c r="P18" s="1">
        <v>18</v>
      </c>
      <c r="Q18" s="1">
        <v>33</v>
      </c>
      <c r="R18" s="1">
        <v>41</v>
      </c>
      <c r="S18" s="1">
        <v>16</v>
      </c>
      <c r="T18" s="1">
        <v>7</v>
      </c>
      <c r="U18" s="12">
        <v>6</v>
      </c>
      <c r="V18" s="25" t="s">
        <v>59</v>
      </c>
    </row>
    <row r="19" spans="1:22" x14ac:dyDescent="0.25">
      <c r="A19" t="s">
        <v>60</v>
      </c>
      <c r="B19" s="10" t="s">
        <v>36</v>
      </c>
      <c r="C19" s="1">
        <v>148</v>
      </c>
      <c r="D19" s="2">
        <v>0.92</v>
      </c>
      <c r="E19" s="6">
        <v>183.19</v>
      </c>
      <c r="F19" s="2">
        <f t="shared" si="0"/>
        <v>0.92380952380952386</v>
      </c>
      <c r="G19" s="3">
        <v>0.72</v>
      </c>
      <c r="H19" s="5">
        <v>122.22</v>
      </c>
      <c r="I19" s="2">
        <f t="shared" si="1"/>
        <v>0.65540540540540537</v>
      </c>
      <c r="J19" s="2">
        <f t="shared" si="2"/>
        <v>0.14864864864864866</v>
      </c>
      <c r="K19" s="2">
        <f t="shared" si="3"/>
        <v>7.4324324324324328E-2</v>
      </c>
      <c r="L19" s="2">
        <f t="shared" si="4"/>
        <v>4.72972972972973E-2</v>
      </c>
      <c r="M19" s="3">
        <v>0.27</v>
      </c>
      <c r="N19" s="11">
        <f t="shared" si="5"/>
        <v>2.0270270270270271E-2</v>
      </c>
      <c r="O19" s="1">
        <v>3</v>
      </c>
      <c r="P19" s="1">
        <v>20</v>
      </c>
      <c r="Q19" s="1">
        <v>97</v>
      </c>
      <c r="R19" s="1">
        <v>105</v>
      </c>
      <c r="S19" s="1">
        <v>22</v>
      </c>
      <c r="T19" s="1">
        <v>11</v>
      </c>
      <c r="U19" s="12">
        <v>7</v>
      </c>
      <c r="V19" s="25" t="s">
        <v>61</v>
      </c>
    </row>
    <row r="20" spans="1:22" x14ac:dyDescent="0.25">
      <c r="A20" t="s">
        <v>62</v>
      </c>
      <c r="B20" s="10" t="s">
        <v>23</v>
      </c>
      <c r="C20" s="1">
        <v>215</v>
      </c>
      <c r="D20" s="2">
        <v>0.91</v>
      </c>
      <c r="E20" s="6">
        <v>160.66999999999999</v>
      </c>
      <c r="F20" s="2">
        <f t="shared" si="0"/>
        <v>0.86805555555555558</v>
      </c>
      <c r="G20" s="3">
        <v>0.76</v>
      </c>
      <c r="H20" s="5">
        <v>107.78</v>
      </c>
      <c r="I20" s="2">
        <f t="shared" si="1"/>
        <v>0.58139534883720934</v>
      </c>
      <c r="J20" s="2">
        <f t="shared" si="2"/>
        <v>0.2558139534883721</v>
      </c>
      <c r="K20" s="2">
        <f t="shared" si="3"/>
        <v>5.5813953488372092E-2</v>
      </c>
      <c r="L20" s="2">
        <f t="shared" si="4"/>
        <v>8.8372093023255813E-2</v>
      </c>
      <c r="M20" s="3">
        <v>0.17</v>
      </c>
      <c r="N20" s="11">
        <f t="shared" si="5"/>
        <v>0</v>
      </c>
      <c r="O20" s="1">
        <v>0</v>
      </c>
      <c r="P20" s="1">
        <v>20</v>
      </c>
      <c r="Q20" s="1">
        <v>125</v>
      </c>
      <c r="R20" s="1">
        <v>144</v>
      </c>
      <c r="S20" s="1">
        <v>55</v>
      </c>
      <c r="T20" s="1">
        <v>12</v>
      </c>
      <c r="U20" s="12">
        <v>19</v>
      </c>
      <c r="V20" s="26" t="s">
        <v>57</v>
      </c>
    </row>
    <row r="21" spans="1:22" x14ac:dyDescent="0.25">
      <c r="A21" t="s">
        <v>63</v>
      </c>
      <c r="B21" s="10" t="s">
        <v>23</v>
      </c>
      <c r="C21" s="1">
        <v>215</v>
      </c>
      <c r="D21" s="2">
        <v>0.89</v>
      </c>
      <c r="E21" s="6">
        <v>163.84</v>
      </c>
      <c r="F21" s="2">
        <f t="shared" si="0"/>
        <v>0.88028169014084512</v>
      </c>
      <c r="G21" s="3">
        <v>0.71</v>
      </c>
      <c r="H21" s="5">
        <v>105.44</v>
      </c>
      <c r="I21" s="2">
        <f t="shared" si="1"/>
        <v>0.58139534883720934</v>
      </c>
      <c r="J21" s="2">
        <f t="shared" si="2"/>
        <v>0.21860465116279071</v>
      </c>
      <c r="K21" s="2">
        <f t="shared" si="3"/>
        <v>5.1162790697674418E-2</v>
      </c>
      <c r="L21" s="2">
        <f t="shared" si="4"/>
        <v>6.9767441860465115E-2</v>
      </c>
      <c r="M21" s="3">
        <v>0.16</v>
      </c>
      <c r="N21" s="11">
        <f t="shared" si="5"/>
        <v>9.3023255813953487E-3</v>
      </c>
      <c r="O21" s="1">
        <v>2</v>
      </c>
      <c r="P21" s="1">
        <v>23</v>
      </c>
      <c r="Q21" s="1">
        <v>125</v>
      </c>
      <c r="R21" s="1">
        <v>142</v>
      </c>
      <c r="S21" s="1">
        <v>47</v>
      </c>
      <c r="T21" s="1">
        <v>11</v>
      </c>
      <c r="U21" s="12">
        <v>15</v>
      </c>
      <c r="V21" s="26" t="s">
        <v>64</v>
      </c>
    </row>
    <row r="22" spans="1:22" x14ac:dyDescent="0.25">
      <c r="A22" t="s">
        <v>65</v>
      </c>
      <c r="B22" s="10" t="s">
        <v>46</v>
      </c>
      <c r="C22" s="1">
        <v>45</v>
      </c>
      <c r="D22" s="2">
        <v>0.86</v>
      </c>
      <c r="E22" s="6">
        <v>200.58</v>
      </c>
      <c r="F22" s="2">
        <f t="shared" si="0"/>
        <v>0.75</v>
      </c>
      <c r="G22" s="3">
        <v>0.73</v>
      </c>
      <c r="H22" s="5">
        <v>142.78</v>
      </c>
      <c r="I22" s="2">
        <f t="shared" si="1"/>
        <v>0.66666666666666663</v>
      </c>
      <c r="J22" s="2">
        <f t="shared" si="2"/>
        <v>0.28888888888888886</v>
      </c>
      <c r="K22" s="2">
        <f t="shared" si="3"/>
        <v>2.2222222222222223E-2</v>
      </c>
      <c r="L22" s="2">
        <f t="shared" si="4"/>
        <v>0.2</v>
      </c>
      <c r="M22" s="3">
        <v>0.15</v>
      </c>
      <c r="N22" s="11">
        <f t="shared" si="5"/>
        <v>2.2222222222222223E-2</v>
      </c>
      <c r="O22" s="1">
        <v>1</v>
      </c>
      <c r="P22" s="1">
        <v>18</v>
      </c>
      <c r="Q22" s="1">
        <v>30</v>
      </c>
      <c r="R22" s="1">
        <v>40</v>
      </c>
      <c r="S22" s="1">
        <v>13</v>
      </c>
      <c r="T22" s="1">
        <v>1</v>
      </c>
      <c r="U22" s="12">
        <v>9</v>
      </c>
      <c r="V22" s="25" t="s">
        <v>66</v>
      </c>
    </row>
    <row r="23" spans="1:22" x14ac:dyDescent="0.25">
      <c r="A23" t="s">
        <v>67</v>
      </c>
      <c r="B23" s="10" t="s">
        <v>36</v>
      </c>
      <c r="C23" s="1">
        <v>148</v>
      </c>
      <c r="D23" s="2">
        <v>0.86</v>
      </c>
      <c r="E23" s="6">
        <v>180.96</v>
      </c>
      <c r="F23" s="2">
        <f t="shared" si="0"/>
        <v>0.78899082568807344</v>
      </c>
      <c r="G23" s="3">
        <v>0.66</v>
      </c>
      <c r="H23" s="5">
        <v>125.61</v>
      </c>
      <c r="I23" s="2">
        <f t="shared" si="1"/>
        <v>0.58108108108108103</v>
      </c>
      <c r="J23" s="2">
        <f t="shared" si="2"/>
        <v>0.22297297297297297</v>
      </c>
      <c r="K23" s="2">
        <f t="shared" si="3"/>
        <v>6.0810810810810814E-2</v>
      </c>
      <c r="L23" s="2">
        <f t="shared" si="4"/>
        <v>0.10135135135135136</v>
      </c>
      <c r="M23" s="3">
        <v>0.15</v>
      </c>
      <c r="N23" s="11">
        <f t="shared" si="5"/>
        <v>6.7567567567567571E-3</v>
      </c>
      <c r="O23" s="1">
        <v>1</v>
      </c>
      <c r="P23" s="1">
        <v>28</v>
      </c>
      <c r="Q23" s="1">
        <v>86</v>
      </c>
      <c r="R23" s="1">
        <v>109</v>
      </c>
      <c r="S23" s="1">
        <v>33</v>
      </c>
      <c r="T23" s="1">
        <v>9</v>
      </c>
      <c r="U23" s="12">
        <v>15</v>
      </c>
      <c r="V23" s="25" t="s">
        <v>68</v>
      </c>
    </row>
    <row r="24" spans="1:22" x14ac:dyDescent="0.25">
      <c r="A24" t="s">
        <v>69</v>
      </c>
      <c r="B24" s="10" t="s">
        <v>41</v>
      </c>
      <c r="C24" s="1">
        <v>179</v>
      </c>
      <c r="D24" s="2">
        <v>0.85</v>
      </c>
      <c r="E24" s="6">
        <v>168.24</v>
      </c>
      <c r="F24" s="2">
        <f t="shared" si="0"/>
        <v>0.73076923076923073</v>
      </c>
      <c r="G24" s="3">
        <v>0.69</v>
      </c>
      <c r="H24" s="5">
        <v>117.4</v>
      </c>
      <c r="I24" s="2">
        <f t="shared" si="1"/>
        <v>0.53072625698324027</v>
      </c>
      <c r="J24" s="2">
        <f t="shared" si="2"/>
        <v>0.33519553072625696</v>
      </c>
      <c r="K24" s="2">
        <f t="shared" si="3"/>
        <v>5.027932960893855E-2</v>
      </c>
      <c r="L24" s="2">
        <f t="shared" si="4"/>
        <v>5.5865921787709494E-2</v>
      </c>
      <c r="M24" s="3">
        <v>0.16</v>
      </c>
      <c r="N24" s="11">
        <f t="shared" si="5"/>
        <v>1.11731843575419E-2</v>
      </c>
      <c r="O24" s="1">
        <v>2</v>
      </c>
      <c r="P24" s="1">
        <v>17</v>
      </c>
      <c r="Q24" s="1">
        <v>95</v>
      </c>
      <c r="R24" s="1">
        <v>130</v>
      </c>
      <c r="S24" s="1">
        <v>60</v>
      </c>
      <c r="T24" s="1">
        <v>9</v>
      </c>
      <c r="U24" s="12">
        <v>10</v>
      </c>
      <c r="V24" s="26" t="s">
        <v>64</v>
      </c>
    </row>
    <row r="25" spans="1:22" x14ac:dyDescent="0.25">
      <c r="A25" t="s">
        <v>70</v>
      </c>
      <c r="B25" s="10" t="s">
        <v>26</v>
      </c>
      <c r="C25" s="1">
        <v>177</v>
      </c>
      <c r="D25" s="2">
        <v>0.85</v>
      </c>
      <c r="E25" s="6">
        <v>133.04</v>
      </c>
      <c r="F25" s="2">
        <f t="shared" si="0"/>
        <v>0.73394495412844041</v>
      </c>
      <c r="G25" s="3">
        <v>0.71</v>
      </c>
      <c r="H25" s="5">
        <v>93.92</v>
      </c>
      <c r="I25" s="2">
        <f t="shared" si="1"/>
        <v>0.4519774011299435</v>
      </c>
      <c r="J25" s="2">
        <f t="shared" si="2"/>
        <v>0.30508474576271188</v>
      </c>
      <c r="K25" s="2">
        <f t="shared" si="3"/>
        <v>5.6497175141242938E-3</v>
      </c>
      <c r="L25" s="2">
        <f t="shared" si="4"/>
        <v>5.6497175141242938E-2</v>
      </c>
      <c r="M25" s="3">
        <v>0.24</v>
      </c>
      <c r="N25" s="11">
        <f t="shared" si="5"/>
        <v>1.1299435028248588E-2</v>
      </c>
      <c r="O25" s="1">
        <v>2</v>
      </c>
      <c r="P25" s="1">
        <v>16</v>
      </c>
      <c r="Q25" s="1">
        <v>80</v>
      </c>
      <c r="R25" s="1">
        <v>109</v>
      </c>
      <c r="S25" s="1">
        <v>54</v>
      </c>
      <c r="T25" s="1">
        <v>1</v>
      </c>
      <c r="U25" s="12">
        <v>10</v>
      </c>
      <c r="V25" s="26" t="s">
        <v>71</v>
      </c>
    </row>
    <row r="26" spans="1:22" x14ac:dyDescent="0.25">
      <c r="A26" t="s">
        <v>72</v>
      </c>
      <c r="B26" s="10" t="s">
        <v>36</v>
      </c>
      <c r="C26" s="1">
        <v>148</v>
      </c>
      <c r="D26" s="2">
        <v>0.83</v>
      </c>
      <c r="E26" s="6">
        <v>161.13999999999999</v>
      </c>
      <c r="F26" s="2">
        <f t="shared" si="0"/>
        <v>0.75454545454545452</v>
      </c>
      <c r="G26" s="3">
        <v>0.71</v>
      </c>
      <c r="H26" s="5">
        <v>110.44</v>
      </c>
      <c r="I26" s="2">
        <f t="shared" si="1"/>
        <v>0.56081081081081086</v>
      </c>
      <c r="J26" s="2">
        <f t="shared" si="2"/>
        <v>0.27702702702702703</v>
      </c>
      <c r="K26" s="2">
        <f t="shared" si="3"/>
        <v>8.1081081081081086E-2</v>
      </c>
      <c r="L26" s="2">
        <f t="shared" si="4"/>
        <v>7.4324324324324328E-2</v>
      </c>
      <c r="M26" s="3">
        <v>0.26</v>
      </c>
      <c r="N26" s="11">
        <f t="shared" si="5"/>
        <v>2.0270270270270271E-2</v>
      </c>
      <c r="O26" s="1">
        <v>3</v>
      </c>
      <c r="P26" s="1">
        <v>21</v>
      </c>
      <c r="Q26" s="1">
        <v>83</v>
      </c>
      <c r="R26" s="1">
        <v>110</v>
      </c>
      <c r="S26" s="1">
        <v>41</v>
      </c>
      <c r="T26" s="1">
        <v>12</v>
      </c>
      <c r="U26" s="12">
        <v>11</v>
      </c>
      <c r="V26" s="25" t="s">
        <v>73</v>
      </c>
    </row>
    <row r="27" spans="1:22" x14ac:dyDescent="0.25">
      <c r="A27" t="s">
        <v>74</v>
      </c>
      <c r="B27" s="10" t="s">
        <v>31</v>
      </c>
      <c r="C27" s="1">
        <v>52</v>
      </c>
      <c r="D27" s="2">
        <v>0.79</v>
      </c>
      <c r="E27" s="6">
        <v>216</v>
      </c>
      <c r="F27" s="2">
        <f t="shared" si="0"/>
        <v>0.61538461538461542</v>
      </c>
      <c r="G27" s="3">
        <v>0.73</v>
      </c>
      <c r="H27" s="5">
        <v>113.85</v>
      </c>
      <c r="I27" s="2">
        <f t="shared" si="1"/>
        <v>0.46153846153846156</v>
      </c>
      <c r="J27" s="2">
        <f t="shared" si="2"/>
        <v>0.28846153846153844</v>
      </c>
      <c r="K27" s="2">
        <f t="shared" si="3"/>
        <v>7.6923076923076927E-2</v>
      </c>
      <c r="L27" s="2">
        <f t="shared" si="4"/>
        <v>7.6923076923076927E-2</v>
      </c>
      <c r="M27" s="3">
        <v>0.2</v>
      </c>
      <c r="N27" s="11">
        <f t="shared" si="5"/>
        <v>1.9230769230769232E-2</v>
      </c>
      <c r="O27" s="1">
        <v>1</v>
      </c>
      <c r="P27" s="1">
        <v>21</v>
      </c>
      <c r="Q27" s="1">
        <v>24</v>
      </c>
      <c r="R27" s="1">
        <v>39</v>
      </c>
      <c r="S27" s="1">
        <v>15</v>
      </c>
      <c r="T27" s="1">
        <v>4</v>
      </c>
      <c r="U27" s="12">
        <v>4</v>
      </c>
      <c r="V27" s="26" t="s">
        <v>29</v>
      </c>
    </row>
    <row r="28" spans="1:22" x14ac:dyDescent="0.25">
      <c r="A28" t="s">
        <v>75</v>
      </c>
      <c r="B28" s="10" t="s">
        <v>41</v>
      </c>
      <c r="C28" s="1">
        <v>179</v>
      </c>
      <c r="D28" s="2">
        <v>0.77</v>
      </c>
      <c r="E28" s="6">
        <v>155.53</v>
      </c>
      <c r="F28" s="2">
        <f t="shared" si="0"/>
        <v>0.73913043478260865</v>
      </c>
      <c r="G28" s="3">
        <v>0.65</v>
      </c>
      <c r="H28" s="5">
        <v>99.5</v>
      </c>
      <c r="I28" s="2">
        <f t="shared" si="1"/>
        <v>0.56983240223463683</v>
      </c>
      <c r="J28" s="2">
        <f t="shared" si="2"/>
        <v>0.29608938547486036</v>
      </c>
      <c r="K28" s="2">
        <f t="shared" si="3"/>
        <v>5.027932960893855E-2</v>
      </c>
      <c r="L28" s="2">
        <f t="shared" si="4"/>
        <v>0.12290502793296089</v>
      </c>
      <c r="M28" s="3">
        <v>0.22</v>
      </c>
      <c r="N28" s="11">
        <f t="shared" si="5"/>
        <v>2.23463687150838E-2</v>
      </c>
      <c r="O28" s="1">
        <v>4</v>
      </c>
      <c r="P28" s="1">
        <v>21</v>
      </c>
      <c r="Q28" s="1">
        <v>102</v>
      </c>
      <c r="R28" s="1">
        <v>138</v>
      </c>
      <c r="S28" s="1">
        <v>53</v>
      </c>
      <c r="T28" s="1">
        <v>9</v>
      </c>
      <c r="U28" s="12">
        <v>22</v>
      </c>
      <c r="V28" s="26" t="s">
        <v>76</v>
      </c>
    </row>
    <row r="29" spans="1:22" x14ac:dyDescent="0.25">
      <c r="A29" t="s">
        <v>77</v>
      </c>
      <c r="B29" s="10" t="s">
        <v>46</v>
      </c>
      <c r="C29" s="1">
        <v>45</v>
      </c>
      <c r="D29" s="2">
        <v>0.73</v>
      </c>
      <c r="E29" s="6">
        <v>124.31</v>
      </c>
      <c r="F29" s="2">
        <f t="shared" si="0"/>
        <v>0.64516129032258063</v>
      </c>
      <c r="G29" s="3">
        <v>0.62</v>
      </c>
      <c r="H29" s="5">
        <v>83.34</v>
      </c>
      <c r="I29" s="2">
        <f t="shared" si="1"/>
        <v>0.44444444444444442</v>
      </c>
      <c r="J29" s="2">
        <f t="shared" si="2"/>
        <v>0.31111111111111112</v>
      </c>
      <c r="K29" s="2">
        <f t="shared" si="3"/>
        <v>4.4444444444444446E-2</v>
      </c>
      <c r="L29" s="2">
        <f t="shared" si="4"/>
        <v>8.8888888888888892E-2</v>
      </c>
      <c r="M29" s="3">
        <v>0.18</v>
      </c>
      <c r="N29" s="11">
        <f t="shared" si="5"/>
        <v>2.2222222222222223E-2</v>
      </c>
      <c r="O29" s="1">
        <v>1</v>
      </c>
      <c r="P29" s="1">
        <v>11</v>
      </c>
      <c r="Q29" s="1">
        <v>20</v>
      </c>
      <c r="R29" s="1">
        <v>31</v>
      </c>
      <c r="S29" s="1">
        <v>14</v>
      </c>
      <c r="T29" s="1">
        <v>2</v>
      </c>
      <c r="U29" s="12">
        <v>4</v>
      </c>
      <c r="V29" s="25" t="s">
        <v>78</v>
      </c>
    </row>
    <row r="30" spans="1:22" x14ac:dyDescent="0.25">
      <c r="A30" t="s">
        <v>79</v>
      </c>
      <c r="B30" s="10" t="s">
        <v>31</v>
      </c>
      <c r="C30" s="1">
        <v>52</v>
      </c>
      <c r="D30" s="2">
        <v>0.73</v>
      </c>
      <c r="E30" s="6">
        <v>106.92</v>
      </c>
      <c r="F30" s="2">
        <f t="shared" si="0"/>
        <v>0.6</v>
      </c>
      <c r="G30" s="3">
        <v>0.73</v>
      </c>
      <c r="H30" s="5">
        <v>87.03</v>
      </c>
      <c r="I30" s="2">
        <f t="shared" si="1"/>
        <v>0.46153846153846156</v>
      </c>
      <c r="J30" s="2">
        <f t="shared" si="2"/>
        <v>0.38461538461538464</v>
      </c>
      <c r="K30" s="2">
        <f t="shared" si="3"/>
        <v>7.6923076923076927E-2</v>
      </c>
      <c r="L30" s="2">
        <f t="shared" si="4"/>
        <v>5.7692307692307696E-2</v>
      </c>
      <c r="M30" s="3">
        <v>0.18</v>
      </c>
      <c r="N30" s="11">
        <f t="shared" si="5"/>
        <v>1.9230769230769232E-2</v>
      </c>
      <c r="O30" s="1">
        <v>1</v>
      </c>
      <c r="P30" s="1">
        <v>13</v>
      </c>
      <c r="Q30" s="1">
        <v>24</v>
      </c>
      <c r="R30" s="1">
        <v>40</v>
      </c>
      <c r="S30" s="1">
        <v>20</v>
      </c>
      <c r="T30" s="1">
        <v>4</v>
      </c>
      <c r="U30" s="12">
        <v>3</v>
      </c>
      <c r="V30" s="26" t="s">
        <v>80</v>
      </c>
    </row>
    <row r="31" spans="1:22" x14ac:dyDescent="0.25">
      <c r="A31" t="s">
        <v>81</v>
      </c>
      <c r="B31" s="10" t="s">
        <v>46</v>
      </c>
      <c r="C31" s="1">
        <v>45</v>
      </c>
      <c r="D31" s="2">
        <v>0.71</v>
      </c>
      <c r="E31" s="6">
        <v>182</v>
      </c>
      <c r="F31" s="2">
        <f t="shared" si="0"/>
        <v>0.71794871794871795</v>
      </c>
      <c r="G31" s="3">
        <v>0.57999999999999996</v>
      </c>
      <c r="H31" s="5">
        <v>115.02</v>
      </c>
      <c r="I31" s="2">
        <f t="shared" si="1"/>
        <v>0.62222222222222223</v>
      </c>
      <c r="J31" s="2">
        <f t="shared" si="2"/>
        <v>0.17777777777777778</v>
      </c>
      <c r="K31" s="2">
        <f t="shared" si="3"/>
        <v>6.6666666666666666E-2</v>
      </c>
      <c r="L31" s="2">
        <f t="shared" si="4"/>
        <v>0.13333333333333333</v>
      </c>
      <c r="M31" s="3">
        <v>0.17</v>
      </c>
      <c r="N31" s="11">
        <f t="shared" si="5"/>
        <v>0</v>
      </c>
      <c r="O31" s="1">
        <v>0</v>
      </c>
      <c r="P31" s="1">
        <v>17</v>
      </c>
      <c r="Q31" s="1">
        <v>28</v>
      </c>
      <c r="R31" s="1">
        <v>39</v>
      </c>
      <c r="S31" s="1">
        <v>8</v>
      </c>
      <c r="T31" s="1">
        <v>3</v>
      </c>
      <c r="U31" s="12">
        <v>6</v>
      </c>
      <c r="V31" s="25" t="s">
        <v>32</v>
      </c>
    </row>
    <row r="32" spans="1:22" x14ac:dyDescent="0.25">
      <c r="A32" t="s">
        <v>82</v>
      </c>
      <c r="B32" s="10" t="s">
        <v>83</v>
      </c>
      <c r="C32" s="1">
        <v>42</v>
      </c>
      <c r="D32" s="2">
        <v>0.69</v>
      </c>
      <c r="E32" s="6">
        <v>151.47999999999999</v>
      </c>
      <c r="F32" s="2">
        <f t="shared" si="0"/>
        <v>0.69444444444444442</v>
      </c>
      <c r="G32" s="3">
        <v>0.64</v>
      </c>
      <c r="H32" s="5">
        <v>96.26</v>
      </c>
      <c r="I32" s="2">
        <f t="shared" si="1"/>
        <v>0.59523809523809523</v>
      </c>
      <c r="J32" s="2">
        <f t="shared" si="2"/>
        <v>0.23809523809523808</v>
      </c>
      <c r="K32" s="2">
        <f t="shared" si="3"/>
        <v>2.3809523809523808E-2</v>
      </c>
      <c r="L32" s="2">
        <f t="shared" si="4"/>
        <v>7.1428571428571425E-2</v>
      </c>
      <c r="M32" s="3">
        <v>0.25</v>
      </c>
      <c r="N32" s="11">
        <f t="shared" si="5"/>
        <v>4.7619047619047616E-2</v>
      </c>
      <c r="O32" s="1">
        <v>2</v>
      </c>
      <c r="P32" s="1">
        <v>13</v>
      </c>
      <c r="Q32" s="1">
        <v>25</v>
      </c>
      <c r="R32" s="1">
        <v>36</v>
      </c>
      <c r="S32" s="1">
        <v>10</v>
      </c>
      <c r="T32" s="1">
        <v>1</v>
      </c>
      <c r="U32" s="12">
        <v>3</v>
      </c>
      <c r="V32" s="25" t="s">
        <v>27</v>
      </c>
    </row>
    <row r="33" spans="1:22" x14ac:dyDescent="0.25">
      <c r="A33" t="s">
        <v>84</v>
      </c>
      <c r="B33" s="10" t="s">
        <v>85</v>
      </c>
      <c r="C33" s="1"/>
      <c r="D33" s="2"/>
      <c r="E33" s="6"/>
      <c r="F33" s="2"/>
      <c r="G33" s="3"/>
      <c r="H33" s="5"/>
      <c r="I33" s="2"/>
      <c r="J33" s="2"/>
      <c r="K33" s="2"/>
      <c r="L33" s="2"/>
      <c r="M33" s="3"/>
      <c r="N33" s="11"/>
      <c r="O33" s="1">
        <v>0</v>
      </c>
      <c r="P33" s="1"/>
      <c r="Q33" s="1"/>
      <c r="R33" s="1"/>
      <c r="S33" s="1"/>
      <c r="T33" s="1"/>
      <c r="U33" s="12"/>
      <c r="V33" s="26" t="s">
        <v>86</v>
      </c>
    </row>
    <row r="34" spans="1:22" x14ac:dyDescent="0.25">
      <c r="A34" t="s">
        <v>87</v>
      </c>
      <c r="B34" s="10" t="s">
        <v>85</v>
      </c>
      <c r="C34" s="1"/>
      <c r="D34" s="2"/>
      <c r="E34" s="6"/>
      <c r="F34" s="2"/>
      <c r="G34" s="3"/>
      <c r="H34" s="5"/>
      <c r="I34" s="2"/>
      <c r="J34" s="2"/>
      <c r="K34" s="2"/>
      <c r="L34" s="2"/>
      <c r="M34" s="3"/>
      <c r="N34" s="11"/>
      <c r="O34" s="1">
        <v>0</v>
      </c>
      <c r="P34" s="1"/>
      <c r="Q34" s="1"/>
      <c r="R34" s="1"/>
      <c r="S34" s="1"/>
      <c r="T34" s="1"/>
      <c r="U34" s="12"/>
      <c r="V34" s="26" t="s">
        <v>86</v>
      </c>
    </row>
    <row r="35" spans="1:22" x14ac:dyDescent="0.25">
      <c r="A35" t="s">
        <v>88</v>
      </c>
      <c r="B35" s="10" t="s">
        <v>85</v>
      </c>
      <c r="C35" s="1"/>
      <c r="D35" s="2"/>
      <c r="E35" s="6"/>
      <c r="F35" s="2"/>
      <c r="G35" s="3"/>
      <c r="H35" s="5"/>
      <c r="I35" s="2"/>
      <c r="J35" s="2"/>
      <c r="K35" s="2"/>
      <c r="L35" s="2"/>
      <c r="M35" s="3"/>
      <c r="N35" s="11"/>
      <c r="O35" s="1">
        <v>0</v>
      </c>
      <c r="P35" s="1"/>
      <c r="Q35" s="1"/>
      <c r="R35" s="1"/>
      <c r="S35" s="1"/>
      <c r="T35" s="1"/>
      <c r="U35" s="12"/>
      <c r="V35" s="26" t="s">
        <v>86</v>
      </c>
    </row>
    <row r="36" spans="1:22" x14ac:dyDescent="0.25">
      <c r="A36" t="s">
        <v>89</v>
      </c>
      <c r="B36" s="10" t="s">
        <v>85</v>
      </c>
      <c r="C36" s="1"/>
      <c r="D36" s="2"/>
      <c r="E36" s="6"/>
      <c r="F36" s="2"/>
      <c r="G36" s="3"/>
      <c r="H36" s="5"/>
      <c r="I36" s="2"/>
      <c r="J36" s="2"/>
      <c r="K36" s="2"/>
      <c r="L36" s="2"/>
      <c r="M36" s="3"/>
      <c r="N36" s="11"/>
      <c r="O36" s="1">
        <v>0</v>
      </c>
      <c r="P36" s="1"/>
      <c r="Q36" s="1"/>
      <c r="R36" s="1"/>
      <c r="S36" s="1"/>
      <c r="T36" s="1"/>
      <c r="U36" s="12"/>
      <c r="V36" s="26" t="s">
        <v>86</v>
      </c>
    </row>
    <row r="37" spans="1:22" x14ac:dyDescent="0.25">
      <c r="A37" t="s">
        <v>90</v>
      </c>
      <c r="B37" s="10" t="s">
        <v>85</v>
      </c>
      <c r="C37" s="1"/>
      <c r="D37" s="2"/>
      <c r="E37" s="6"/>
      <c r="F37" s="2"/>
      <c r="G37" s="3"/>
      <c r="H37" s="5"/>
      <c r="I37" s="2"/>
      <c r="J37" s="2"/>
      <c r="K37" s="2"/>
      <c r="L37" s="2"/>
      <c r="M37" s="3"/>
      <c r="N37" s="11"/>
      <c r="O37" s="1">
        <v>0</v>
      </c>
      <c r="P37" s="1"/>
      <c r="Q37" s="1"/>
      <c r="R37" s="1"/>
      <c r="S37" s="1"/>
      <c r="T37" s="1"/>
      <c r="U37" s="12"/>
      <c r="V37" s="26" t="s">
        <v>86</v>
      </c>
    </row>
    <row r="38" spans="1:22" x14ac:dyDescent="0.25">
      <c r="A38" t="s">
        <v>91</v>
      </c>
      <c r="B38" s="10" t="s">
        <v>31</v>
      </c>
      <c r="C38" s="1"/>
      <c r="D38" s="2"/>
      <c r="E38" s="6"/>
      <c r="F38" s="2"/>
      <c r="G38" s="3"/>
      <c r="H38" s="5"/>
      <c r="I38" s="2"/>
      <c r="J38" s="2"/>
      <c r="K38" s="2"/>
      <c r="L38" s="2"/>
      <c r="M38" s="3"/>
      <c r="N38" s="11"/>
      <c r="O38" s="1">
        <v>0</v>
      </c>
      <c r="P38" s="1"/>
      <c r="Q38" s="1"/>
      <c r="R38" s="1"/>
      <c r="S38" s="1"/>
      <c r="T38" s="1"/>
      <c r="U38" s="12"/>
      <c r="V38" s="26" t="s">
        <v>86</v>
      </c>
    </row>
    <row r="39" spans="1:22" x14ac:dyDescent="0.25">
      <c r="A39" t="s">
        <v>92</v>
      </c>
      <c r="B39" s="10" t="s">
        <v>93</v>
      </c>
      <c r="C39" s="1"/>
      <c r="D39" s="2"/>
      <c r="E39" s="6"/>
      <c r="F39" s="2"/>
      <c r="G39" s="3"/>
      <c r="H39" s="5"/>
      <c r="I39" s="2"/>
      <c r="J39" s="2"/>
      <c r="K39" s="2"/>
      <c r="L39" s="2"/>
      <c r="M39" s="3"/>
      <c r="N39" s="11"/>
      <c r="O39" s="1">
        <v>0</v>
      </c>
      <c r="P39" s="1"/>
      <c r="Q39" s="1"/>
      <c r="R39" s="1"/>
      <c r="S39" s="1"/>
      <c r="T39" s="1"/>
      <c r="U39" s="12"/>
      <c r="V39" s="26" t="s">
        <v>71</v>
      </c>
    </row>
    <row r="40" spans="1:22" x14ac:dyDescent="0.25">
      <c r="A40" t="s">
        <v>94</v>
      </c>
      <c r="B40" s="10" t="s">
        <v>93</v>
      </c>
      <c r="C40" s="1"/>
      <c r="D40" s="2"/>
      <c r="E40" s="6"/>
      <c r="F40" s="2"/>
      <c r="G40" s="3"/>
      <c r="H40" s="5"/>
      <c r="I40" s="2"/>
      <c r="J40" s="2"/>
      <c r="K40" s="2"/>
      <c r="L40" s="2"/>
      <c r="M40" s="3"/>
      <c r="N40" s="11"/>
      <c r="O40" s="1">
        <v>0</v>
      </c>
      <c r="P40" s="1"/>
      <c r="Q40" s="1"/>
      <c r="R40" s="1"/>
      <c r="S40" s="1"/>
      <c r="T40" s="1"/>
      <c r="U40" s="12"/>
      <c r="V40" s="26" t="s">
        <v>71</v>
      </c>
    </row>
    <row r="41" spans="1:22" x14ac:dyDescent="0.25">
      <c r="A41" t="s">
        <v>95</v>
      </c>
      <c r="B41" s="10" t="s">
        <v>93</v>
      </c>
      <c r="C41" s="1"/>
      <c r="D41" s="2"/>
      <c r="E41" s="6"/>
      <c r="F41" s="2"/>
      <c r="G41" s="3"/>
      <c r="H41" s="5"/>
      <c r="I41" s="2"/>
      <c r="J41" s="2"/>
      <c r="K41" s="2"/>
      <c r="L41" s="2"/>
      <c r="M41" s="3"/>
      <c r="N41" s="11"/>
      <c r="O41" s="1">
        <v>0</v>
      </c>
      <c r="P41" s="1"/>
      <c r="Q41" s="1"/>
      <c r="R41" s="1"/>
      <c r="S41" s="1"/>
      <c r="T41" s="1"/>
      <c r="U41" s="12"/>
      <c r="V41" s="26" t="s">
        <v>71</v>
      </c>
    </row>
    <row r="42" spans="1:22" x14ac:dyDescent="0.25">
      <c r="A42" t="s">
        <v>96</v>
      </c>
      <c r="B42" s="10" t="s">
        <v>93</v>
      </c>
      <c r="C42" s="1"/>
      <c r="D42" s="2"/>
      <c r="E42" s="6"/>
      <c r="F42" s="2"/>
      <c r="G42" s="3"/>
      <c r="H42" s="5"/>
      <c r="I42" s="2"/>
      <c r="J42" s="2"/>
      <c r="K42" s="2"/>
      <c r="L42" s="2"/>
      <c r="M42" s="3"/>
      <c r="N42" s="11"/>
      <c r="O42" s="1">
        <v>0</v>
      </c>
      <c r="P42" s="1"/>
      <c r="Q42" s="1"/>
      <c r="R42" s="1"/>
      <c r="S42" s="1"/>
      <c r="T42" s="1"/>
      <c r="U42" s="12"/>
      <c r="V42" s="26" t="s">
        <v>71</v>
      </c>
    </row>
    <row r="43" spans="1:22" x14ac:dyDescent="0.25">
      <c r="A43" t="s">
        <v>97</v>
      </c>
      <c r="B43" s="10" t="s">
        <v>93</v>
      </c>
      <c r="C43" s="1"/>
      <c r="D43" s="2"/>
      <c r="E43" s="6"/>
      <c r="F43" s="2"/>
      <c r="G43" s="3"/>
      <c r="H43" s="5"/>
      <c r="I43" s="2"/>
      <c r="J43" s="2"/>
      <c r="K43" s="2"/>
      <c r="L43" s="2"/>
      <c r="M43" s="3"/>
      <c r="N43" s="11"/>
      <c r="O43" s="1">
        <v>0</v>
      </c>
      <c r="P43" s="1"/>
      <c r="Q43" s="1"/>
      <c r="R43" s="1"/>
      <c r="S43" s="1"/>
      <c r="T43" s="1"/>
      <c r="U43" s="12"/>
      <c r="V43" s="26" t="s">
        <v>71</v>
      </c>
    </row>
    <row r="44" spans="1:22" x14ac:dyDescent="0.25">
      <c r="A44" t="s">
        <v>98</v>
      </c>
      <c r="B44" s="10" t="s">
        <v>99</v>
      </c>
      <c r="C44" s="1"/>
      <c r="D44" s="2"/>
      <c r="E44" s="6"/>
      <c r="F44" s="2"/>
      <c r="G44" s="3"/>
      <c r="H44" s="5"/>
      <c r="I44" s="2"/>
      <c r="J44" s="2"/>
      <c r="K44" s="2"/>
      <c r="L44" s="2"/>
      <c r="M44" s="3"/>
      <c r="N44" s="11"/>
      <c r="O44" s="1">
        <v>0</v>
      </c>
      <c r="P44" s="1"/>
      <c r="Q44" s="1"/>
      <c r="R44" s="1"/>
      <c r="S44" s="1"/>
      <c r="T44" s="1"/>
      <c r="U44" s="12"/>
      <c r="V44" s="26" t="s">
        <v>71</v>
      </c>
    </row>
    <row r="45" spans="1:22" x14ac:dyDescent="0.25">
      <c r="A45" t="s">
        <v>100</v>
      </c>
      <c r="B45" s="10" t="s">
        <v>99</v>
      </c>
      <c r="C45" s="1"/>
      <c r="D45" s="1"/>
      <c r="E45" s="6"/>
      <c r="F45" s="2"/>
      <c r="G45" s="4"/>
      <c r="H45" s="5"/>
      <c r="I45" s="2"/>
      <c r="J45" s="2"/>
      <c r="K45" s="2"/>
      <c r="L45" s="2"/>
      <c r="M45" s="4"/>
      <c r="N45" s="11"/>
      <c r="O45" s="1">
        <v>0</v>
      </c>
      <c r="P45" s="1"/>
      <c r="Q45" s="1"/>
      <c r="R45" s="1"/>
      <c r="S45" s="1"/>
      <c r="T45" s="1"/>
      <c r="U45" s="12"/>
      <c r="V45" s="26" t="s">
        <v>71</v>
      </c>
    </row>
    <row r="46" spans="1:22" x14ac:dyDescent="0.25">
      <c r="A46" t="s">
        <v>101</v>
      </c>
      <c r="B46" s="10" t="s">
        <v>99</v>
      </c>
      <c r="C46" s="1"/>
      <c r="D46" s="2"/>
      <c r="E46" s="6"/>
      <c r="F46" s="2"/>
      <c r="G46" s="3"/>
      <c r="H46" s="5"/>
      <c r="I46" s="2"/>
      <c r="J46" s="2"/>
      <c r="K46" s="2"/>
      <c r="L46" s="2"/>
      <c r="M46" s="3"/>
      <c r="N46" s="11"/>
      <c r="O46" s="1">
        <v>0</v>
      </c>
      <c r="P46" s="1"/>
      <c r="Q46" s="1"/>
      <c r="R46" s="1"/>
      <c r="S46" s="1"/>
      <c r="T46" s="1"/>
      <c r="U46" s="12"/>
      <c r="V46" s="26" t="s">
        <v>71</v>
      </c>
    </row>
    <row r="47" spans="1:22" x14ac:dyDescent="0.25">
      <c r="A47" t="s">
        <v>102</v>
      </c>
      <c r="B47" s="10" t="s">
        <v>99</v>
      </c>
      <c r="C47" s="1"/>
      <c r="D47" s="2"/>
      <c r="E47" s="6"/>
      <c r="F47" s="2"/>
      <c r="G47" s="3"/>
      <c r="H47" s="5"/>
      <c r="I47" s="2"/>
      <c r="J47" s="2"/>
      <c r="K47" s="2"/>
      <c r="L47" s="2"/>
      <c r="M47" s="3"/>
      <c r="N47" s="11"/>
      <c r="O47" s="1">
        <v>0</v>
      </c>
      <c r="P47" s="1"/>
      <c r="Q47" s="1"/>
      <c r="R47" s="1"/>
      <c r="S47" s="1"/>
      <c r="T47" s="1"/>
      <c r="U47" s="12"/>
      <c r="V47" s="26" t="s">
        <v>71</v>
      </c>
    </row>
    <row r="48" spans="1:22" x14ac:dyDescent="0.25">
      <c r="A48" t="s">
        <v>103</v>
      </c>
      <c r="B48" s="10" t="s">
        <v>99</v>
      </c>
      <c r="C48" s="1"/>
      <c r="D48" s="2"/>
      <c r="E48" s="6"/>
      <c r="F48" s="2"/>
      <c r="G48" s="3"/>
      <c r="H48" s="5"/>
      <c r="I48" s="2"/>
      <c r="J48" s="2"/>
      <c r="K48" s="2"/>
      <c r="L48" s="2"/>
      <c r="M48" s="3"/>
      <c r="N48" s="11"/>
      <c r="O48" s="1">
        <v>0</v>
      </c>
      <c r="P48" s="1"/>
      <c r="Q48" s="1"/>
      <c r="R48" s="1"/>
      <c r="S48" s="1"/>
      <c r="T48" s="1"/>
      <c r="U48" s="12"/>
      <c r="V48" s="26" t="s">
        <v>71</v>
      </c>
    </row>
    <row r="49" spans="1:22" x14ac:dyDescent="0.25">
      <c r="A49" t="s">
        <v>104</v>
      </c>
      <c r="B49" s="10" t="s">
        <v>105</v>
      </c>
      <c r="C49" s="1"/>
      <c r="D49" s="2"/>
      <c r="E49" s="6"/>
      <c r="F49" s="2"/>
      <c r="G49" s="3"/>
      <c r="H49" s="5"/>
      <c r="I49" s="2"/>
      <c r="J49" s="2"/>
      <c r="K49" s="2"/>
      <c r="L49" s="2"/>
      <c r="M49" s="3"/>
      <c r="N49" s="11"/>
      <c r="O49" s="1">
        <v>0</v>
      </c>
      <c r="P49" s="1"/>
      <c r="Q49" s="1"/>
      <c r="R49" s="1"/>
      <c r="S49" s="1"/>
      <c r="T49" s="1"/>
      <c r="U49" s="12"/>
      <c r="V49" s="26" t="s">
        <v>71</v>
      </c>
    </row>
    <row r="50" spans="1:22" x14ac:dyDescent="0.25">
      <c r="A50" t="s">
        <v>106</v>
      </c>
      <c r="B50" s="10" t="s">
        <v>105</v>
      </c>
      <c r="C50" s="1"/>
      <c r="D50" s="2"/>
      <c r="E50" s="6"/>
      <c r="F50" s="2"/>
      <c r="G50" s="3"/>
      <c r="H50" s="5"/>
      <c r="I50" s="2"/>
      <c r="J50" s="2"/>
      <c r="K50" s="2"/>
      <c r="L50" s="2"/>
      <c r="M50" s="3"/>
      <c r="N50" s="11"/>
      <c r="O50" s="1">
        <v>0</v>
      </c>
      <c r="P50" s="1"/>
      <c r="Q50" s="1"/>
      <c r="R50" s="1"/>
      <c r="S50" s="1"/>
      <c r="T50" s="1"/>
      <c r="U50" s="12"/>
      <c r="V50" s="26" t="s">
        <v>71</v>
      </c>
    </row>
    <row r="51" spans="1:22" x14ac:dyDescent="0.25">
      <c r="A51" t="s">
        <v>107</v>
      </c>
      <c r="B51" s="10" t="s">
        <v>105</v>
      </c>
      <c r="C51" s="1"/>
      <c r="D51" s="1"/>
      <c r="E51" s="6"/>
      <c r="F51" s="2"/>
      <c r="G51" s="4"/>
      <c r="H51" s="5"/>
      <c r="I51" s="2"/>
      <c r="J51" s="2"/>
      <c r="K51" s="2"/>
      <c r="L51" s="2"/>
      <c r="M51" s="4"/>
      <c r="N51" s="11"/>
      <c r="O51" s="1">
        <v>0</v>
      </c>
      <c r="P51" s="1"/>
      <c r="Q51" s="1"/>
      <c r="R51" s="1"/>
      <c r="S51" s="1"/>
      <c r="T51" s="1"/>
      <c r="U51" s="12"/>
      <c r="V51" s="26" t="s">
        <v>71</v>
      </c>
    </row>
    <row r="52" spans="1:22" x14ac:dyDescent="0.25">
      <c r="A52" t="s">
        <v>108</v>
      </c>
      <c r="B52" s="10" t="s">
        <v>105</v>
      </c>
      <c r="C52" s="1"/>
      <c r="D52" s="2"/>
      <c r="E52" s="6"/>
      <c r="F52" s="2"/>
      <c r="G52" s="3"/>
      <c r="H52" s="5"/>
      <c r="I52" s="2"/>
      <c r="J52" s="2"/>
      <c r="K52" s="2"/>
      <c r="L52" s="2"/>
      <c r="M52" s="3"/>
      <c r="N52" s="11"/>
      <c r="O52" s="1">
        <v>0</v>
      </c>
      <c r="P52" s="1"/>
      <c r="Q52" s="1"/>
      <c r="R52" s="1"/>
      <c r="S52" s="1"/>
      <c r="T52" s="1"/>
      <c r="U52" s="12"/>
      <c r="V52" s="26" t="s">
        <v>71</v>
      </c>
    </row>
    <row r="53" spans="1:22" x14ac:dyDescent="0.25">
      <c r="A53" t="s">
        <v>109</v>
      </c>
      <c r="B53" s="10" t="s">
        <v>105</v>
      </c>
      <c r="C53" s="1"/>
      <c r="D53" s="2"/>
      <c r="E53" s="6"/>
      <c r="F53" s="2"/>
      <c r="G53" s="3"/>
      <c r="H53" s="5"/>
      <c r="I53" s="2"/>
      <c r="J53" s="2"/>
      <c r="K53" s="2"/>
      <c r="L53" s="2"/>
      <c r="M53" s="3"/>
      <c r="N53" s="11"/>
      <c r="O53" s="1">
        <v>0</v>
      </c>
      <c r="P53" s="1"/>
      <c r="Q53" s="1"/>
      <c r="R53" s="1"/>
      <c r="S53" s="1"/>
      <c r="T53" s="1"/>
      <c r="U53" s="12"/>
      <c r="V53" s="26" t="s">
        <v>71</v>
      </c>
    </row>
    <row r="54" spans="1:22" x14ac:dyDescent="0.25">
      <c r="A54" t="s">
        <v>110</v>
      </c>
      <c r="B54" s="10" t="s">
        <v>83</v>
      </c>
      <c r="C54" s="1"/>
      <c r="D54" s="2"/>
      <c r="E54" s="6"/>
      <c r="F54" s="2"/>
      <c r="G54" s="3"/>
      <c r="H54" s="5"/>
      <c r="I54" s="2"/>
      <c r="J54" s="2"/>
      <c r="K54" s="2"/>
      <c r="L54" s="2"/>
      <c r="M54" s="3"/>
      <c r="N54" s="11"/>
      <c r="O54" s="1">
        <v>0</v>
      </c>
      <c r="P54" s="1"/>
      <c r="Q54" s="1"/>
      <c r="R54" s="1"/>
      <c r="S54" s="1"/>
      <c r="T54" s="1"/>
      <c r="U54" s="12"/>
      <c r="V54" s="26" t="s">
        <v>71</v>
      </c>
    </row>
    <row r="55" spans="1:22" x14ac:dyDescent="0.25">
      <c r="A55" t="s">
        <v>111</v>
      </c>
      <c r="B55" s="10" t="s">
        <v>83</v>
      </c>
      <c r="C55" s="1"/>
      <c r="D55" s="2"/>
      <c r="E55" s="6"/>
      <c r="F55" s="2"/>
      <c r="G55" s="3"/>
      <c r="H55" s="5"/>
      <c r="I55" s="2"/>
      <c r="J55" s="2"/>
      <c r="K55" s="2"/>
      <c r="L55" s="2"/>
      <c r="M55" s="3"/>
      <c r="N55" s="11"/>
      <c r="O55" s="1">
        <v>0</v>
      </c>
      <c r="P55" s="1"/>
      <c r="Q55" s="1"/>
      <c r="R55" s="1"/>
      <c r="S55" s="1"/>
      <c r="T55" s="1"/>
      <c r="U55" s="12"/>
      <c r="V55" s="26" t="s">
        <v>71</v>
      </c>
    </row>
    <row r="56" spans="1:22" x14ac:dyDescent="0.25">
      <c r="A56" t="s">
        <v>112</v>
      </c>
      <c r="B56" s="10" t="s">
        <v>83</v>
      </c>
      <c r="C56" s="1"/>
      <c r="D56" s="2"/>
      <c r="E56" s="6"/>
      <c r="F56" s="2"/>
      <c r="G56" s="3"/>
      <c r="H56" s="5"/>
      <c r="I56" s="2"/>
      <c r="J56" s="2"/>
      <c r="K56" s="2"/>
      <c r="L56" s="2"/>
      <c r="M56" s="3"/>
      <c r="N56" s="11"/>
      <c r="O56" s="1">
        <v>0</v>
      </c>
      <c r="P56" s="1"/>
      <c r="Q56" s="1"/>
      <c r="R56" s="1"/>
      <c r="S56" s="1"/>
      <c r="T56" s="1"/>
      <c r="U56" s="12"/>
      <c r="V56" s="26" t="s">
        <v>71</v>
      </c>
    </row>
    <row r="57" spans="1:22" x14ac:dyDescent="0.25">
      <c r="A57" t="s">
        <v>113</v>
      </c>
      <c r="B57" s="10" t="s">
        <v>83</v>
      </c>
      <c r="C57" s="1"/>
      <c r="D57" s="2"/>
      <c r="E57" s="6"/>
      <c r="F57" s="2"/>
      <c r="G57" s="3"/>
      <c r="H57" s="5"/>
      <c r="I57" s="2"/>
      <c r="J57" s="2"/>
      <c r="K57" s="2"/>
      <c r="L57" s="2"/>
      <c r="M57" s="3"/>
      <c r="N57" s="11"/>
      <c r="O57" s="1">
        <v>0</v>
      </c>
      <c r="P57" s="1"/>
      <c r="Q57" s="1"/>
      <c r="R57" s="1"/>
      <c r="S57" s="1"/>
      <c r="T57" s="1"/>
      <c r="U57" s="12"/>
      <c r="V57" s="26" t="s">
        <v>53</v>
      </c>
    </row>
    <row r="58" spans="1:22" x14ac:dyDescent="0.25">
      <c r="A58" t="s">
        <v>114</v>
      </c>
      <c r="B58" s="10" t="s">
        <v>115</v>
      </c>
      <c r="C58" s="1"/>
      <c r="D58" s="2"/>
      <c r="E58" s="6"/>
      <c r="F58" s="2"/>
      <c r="G58" s="3"/>
      <c r="H58" s="5"/>
      <c r="I58" s="2"/>
      <c r="J58" s="2"/>
      <c r="K58" s="2"/>
      <c r="L58" s="2"/>
      <c r="M58" s="3"/>
      <c r="N58" s="11"/>
      <c r="O58" s="1">
        <v>0</v>
      </c>
      <c r="P58" s="1"/>
      <c r="Q58" s="1"/>
      <c r="R58" s="1"/>
      <c r="S58" s="1"/>
      <c r="T58" s="1"/>
      <c r="U58" s="12"/>
      <c r="V58" s="26" t="s">
        <v>80</v>
      </c>
    </row>
    <row r="59" spans="1:22" x14ac:dyDescent="0.25">
      <c r="A59" t="s">
        <v>116</v>
      </c>
      <c r="B59" s="10" t="s">
        <v>115</v>
      </c>
      <c r="C59" s="1"/>
      <c r="D59" s="2"/>
      <c r="E59" s="6"/>
      <c r="F59" s="2"/>
      <c r="G59" s="3"/>
      <c r="H59" s="5"/>
      <c r="I59" s="2"/>
      <c r="J59" s="2"/>
      <c r="K59" s="2"/>
      <c r="L59" s="2"/>
      <c r="M59" s="3"/>
      <c r="N59" s="11"/>
      <c r="O59" s="1">
        <v>0</v>
      </c>
      <c r="P59" s="1"/>
      <c r="Q59" s="1"/>
      <c r="R59" s="1"/>
      <c r="S59" s="1"/>
      <c r="T59" s="1"/>
      <c r="U59" s="12"/>
      <c r="V59" s="26" t="s">
        <v>80</v>
      </c>
    </row>
    <row r="60" spans="1:22" x14ac:dyDescent="0.25">
      <c r="A60" t="s">
        <v>117</v>
      </c>
      <c r="B60" s="10" t="s">
        <v>115</v>
      </c>
      <c r="C60" s="1"/>
      <c r="D60" s="2"/>
      <c r="E60" s="6"/>
      <c r="F60" s="2"/>
      <c r="G60" s="3"/>
      <c r="H60" s="5"/>
      <c r="I60" s="2"/>
      <c r="J60" s="2"/>
      <c r="K60" s="2"/>
      <c r="L60" s="2"/>
      <c r="M60" s="3"/>
      <c r="N60" s="11"/>
      <c r="O60" s="1">
        <v>0</v>
      </c>
      <c r="P60" s="1"/>
      <c r="Q60" s="1"/>
      <c r="R60" s="1"/>
      <c r="S60" s="1"/>
      <c r="T60" s="1"/>
      <c r="U60" s="12"/>
      <c r="V60" s="26" t="s">
        <v>80</v>
      </c>
    </row>
    <row r="61" spans="1:22" x14ac:dyDescent="0.25">
      <c r="A61" t="s">
        <v>118</v>
      </c>
      <c r="B61" s="10" t="s">
        <v>115</v>
      </c>
      <c r="C61" s="1"/>
      <c r="D61" s="2"/>
      <c r="E61" s="6"/>
      <c r="F61" s="2"/>
      <c r="G61" s="3"/>
      <c r="H61" s="5"/>
      <c r="I61" s="2"/>
      <c r="J61" s="2"/>
      <c r="K61" s="2"/>
      <c r="L61" s="2"/>
      <c r="M61" s="3"/>
      <c r="N61" s="11"/>
      <c r="O61" s="1">
        <v>0</v>
      </c>
      <c r="P61" s="1"/>
      <c r="Q61" s="1"/>
      <c r="R61" s="1"/>
      <c r="S61" s="1"/>
      <c r="T61" s="1"/>
      <c r="U61" s="12"/>
      <c r="V61" s="26" t="s">
        <v>80</v>
      </c>
    </row>
    <row r="62" spans="1:22" x14ac:dyDescent="0.25">
      <c r="A62" s="13" t="s">
        <v>119</v>
      </c>
      <c r="B62" s="14" t="s">
        <v>115</v>
      </c>
      <c r="C62" s="13"/>
      <c r="D62" s="16"/>
      <c r="E62" s="17"/>
      <c r="F62" s="16"/>
      <c r="G62" s="18"/>
      <c r="H62" s="19"/>
      <c r="I62" s="16"/>
      <c r="J62" s="16"/>
      <c r="K62" s="16"/>
      <c r="L62" s="16"/>
      <c r="M62" s="18"/>
      <c r="N62" s="20"/>
      <c r="O62" s="15">
        <v>0</v>
      </c>
      <c r="P62" s="13"/>
      <c r="Q62" s="13"/>
      <c r="R62" s="13"/>
      <c r="S62" s="13"/>
      <c r="T62" s="13"/>
      <c r="U62" s="14"/>
      <c r="V62" s="27" t="s">
        <v>80</v>
      </c>
    </row>
  </sheetData>
  <autoFilter ref="A1:V1" xr:uid="{00000000-0009-0000-0000-000002000000}">
    <sortState xmlns:xlrd2="http://schemas.microsoft.com/office/spreadsheetml/2017/richdata2" ref="A2:V62">
      <sortCondition descending="1" ref="D1"/>
    </sortState>
  </autoFilter>
  <conditionalFormatting sqref="C2:C61">
    <cfRule type="top10" dxfId="7" priority="17" rank="1"/>
  </conditionalFormatting>
  <conditionalFormatting sqref="D2:D61">
    <cfRule type="colorScale" priority="38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E2:E6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</conditionalFormatting>
  <conditionalFormatting sqref="E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F2:F6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max"/>
        <color rgb="FFFFEF9C"/>
        <color rgb="FF63BE7B"/>
      </colorScale>
    </cfRule>
  </conditionalFormatting>
  <conditionalFormatting sqref="F6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</conditionalFormatting>
  <conditionalFormatting sqref="G2:G6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max"/>
        <color rgb="FFFFEF9C"/>
        <color rgb="FF63BE7B"/>
      </colorScale>
    </cfRule>
  </conditionalFormatting>
  <conditionalFormatting sqref="G6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H2:H6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6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2">
    <cfRule type="top10" dxfId="6" priority="16" rank="1"/>
  </conditionalFormatting>
  <conditionalFormatting sqref="P2:P61">
    <cfRule type="top10" dxfId="5" priority="23" rank="1"/>
  </conditionalFormatting>
  <conditionalFormatting sqref="Q2:Q61">
    <cfRule type="top10" dxfId="4" priority="22" rank="1"/>
  </conditionalFormatting>
  <conditionalFormatting sqref="R2:R61">
    <cfRule type="top10" dxfId="3" priority="21" bottom="1" rank="1"/>
  </conditionalFormatting>
  <conditionalFormatting sqref="S2:S61">
    <cfRule type="top10" dxfId="2" priority="20" rank="1"/>
  </conditionalFormatting>
  <conditionalFormatting sqref="T2:T61">
    <cfRule type="top10" dxfId="1" priority="19" rank="1"/>
  </conditionalFormatting>
  <conditionalFormatting sqref="U2:U61">
    <cfRule type="top10" dxfId="0" priority="18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Group Stage</vt:lpstr>
      <vt:lpstr>Playoffs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Zhehan Gu</dc:creator>
  <cp:lastModifiedBy>Alex G</cp:lastModifiedBy>
  <dcterms:created xsi:type="dcterms:W3CDTF">2025-05-29T08:33:07Z</dcterms:created>
  <dcterms:modified xsi:type="dcterms:W3CDTF">2026-03-23T22:34:02Z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2025-05-29T09:45:44Z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65c7976b-dceb-4340-9956-3cb68b01b2e4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