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289d63768f222688/Desktop/Plat Chat Tournament/Games/"/>
    </mc:Choice>
  </mc:AlternateContent>
  <xr:revisionPtr revIDLastSave="1789" documentId="8_{5E17B9CF-144E-4333-8C64-095841DF9E8D}" xr6:coauthVersionLast="47" xr6:coauthVersionMax="47" xr10:uidLastSave="{2BD208EB-2285-483B-AEBB-9E3E7E0AE9E3}"/>
  <bookViews>
    <workbookView xWindow="-120" yWindow="-120" windowWidth="29040" windowHeight="15840" activeTab="6" xr2:uid="{8F01F1E0-C878-4BE8-893A-DA6F4D0AB2AE}"/>
  </bookViews>
  <sheets>
    <sheet name="Absolute Cinema" sheetId="1" r:id="rId1"/>
    <sheet name="CIN Data" sheetId="2" state="hidden" r:id="rId2"/>
    <sheet name="Kurt's Kittens" sheetId="5" r:id="rId3"/>
    <sheet name="KAT Data" sheetId="6" state="hidden" r:id="rId4"/>
    <sheet name="The Brick Wall" sheetId="7" r:id="rId5"/>
    <sheet name="WALL Data" sheetId="8" state="hidden" r:id="rId6"/>
    <sheet name="You Get Shot You Die" sheetId="9" r:id="rId7"/>
    <sheet name="YGSYD Data" sheetId="10" state="hidden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" i="5" l="1"/>
  <c r="R15" i="5"/>
  <c r="Q15" i="5"/>
  <c r="P15" i="5"/>
  <c r="O15" i="5"/>
  <c r="O19" i="5"/>
  <c r="M15" i="6"/>
  <c r="J15" i="6"/>
  <c r="N15" i="5"/>
  <c r="R11" i="9"/>
  <c r="Q11" i="9"/>
  <c r="P11" i="9"/>
  <c r="O11" i="9"/>
  <c r="M11" i="10"/>
  <c r="J11" i="10"/>
  <c r="N11" i="9"/>
  <c r="I15" i="9"/>
  <c r="H15" i="9"/>
  <c r="G15" i="9"/>
  <c r="F15" i="9"/>
  <c r="E15" i="9"/>
  <c r="F15" i="10"/>
  <c r="C15" i="10"/>
  <c r="D15" i="9"/>
  <c r="Q11" i="7" l="1"/>
  <c r="P11" i="7"/>
  <c r="O11" i="7"/>
  <c r="M11" i="8"/>
  <c r="J11" i="8"/>
  <c r="R11" i="7" s="1"/>
  <c r="M11" i="6"/>
  <c r="S11" i="5" s="1"/>
  <c r="S11" i="7"/>
  <c r="P11" i="5"/>
  <c r="O11" i="5"/>
  <c r="J11" i="6"/>
  <c r="R11" i="5" s="1"/>
  <c r="N11" i="7"/>
  <c r="N11" i="5"/>
  <c r="I11" i="5"/>
  <c r="H11" i="5"/>
  <c r="G11" i="5"/>
  <c r="F11" i="5"/>
  <c r="E11" i="5"/>
  <c r="F11" i="6"/>
  <c r="C11" i="6"/>
  <c r="F11" i="7"/>
  <c r="G11" i="7" s="1"/>
  <c r="E11" i="7"/>
  <c r="F11" i="8"/>
  <c r="C11" i="8"/>
  <c r="D11" i="7"/>
  <c r="D11" i="5"/>
  <c r="G15" i="1"/>
  <c r="F15" i="1"/>
  <c r="E15" i="1"/>
  <c r="D15" i="1"/>
  <c r="F15" i="2"/>
  <c r="C15" i="2"/>
  <c r="S15" i="1"/>
  <c r="R15" i="1"/>
  <c r="Q15" i="1"/>
  <c r="P15" i="1"/>
  <c r="O15" i="1"/>
  <c r="M15" i="2"/>
  <c r="J15" i="2"/>
  <c r="N15" i="1"/>
  <c r="P15" i="9"/>
  <c r="O15" i="9"/>
  <c r="M15" i="10"/>
  <c r="S11" i="9" s="1"/>
  <c r="J15" i="10"/>
  <c r="P15" i="7"/>
  <c r="O15" i="7"/>
  <c r="J15" i="8"/>
  <c r="M15" i="8"/>
  <c r="N15" i="9"/>
  <c r="N15" i="7"/>
  <c r="Q11" i="5" l="1"/>
  <c r="Q15" i="9"/>
  <c r="Q15" i="7"/>
  <c r="F3" i="5"/>
  <c r="E3" i="5"/>
  <c r="F3" i="6"/>
  <c r="C3" i="6"/>
  <c r="D3" i="5"/>
  <c r="N19" i="5"/>
  <c r="P19" i="5"/>
  <c r="J19" i="6"/>
  <c r="R19" i="5" s="1"/>
  <c r="M19" i="6"/>
  <c r="S19" i="5" s="1"/>
  <c r="N19" i="1"/>
  <c r="O19" i="1"/>
  <c r="P19" i="1"/>
  <c r="Q19" i="1" s="1"/>
  <c r="R19" i="1"/>
  <c r="S19" i="1"/>
  <c r="J19" i="2"/>
  <c r="M19" i="2"/>
  <c r="G3" i="5" l="1"/>
  <c r="Q19" i="5"/>
  <c r="P19" i="9"/>
  <c r="O19" i="9"/>
  <c r="M19" i="10"/>
  <c r="J19" i="10"/>
  <c r="N19" i="9"/>
  <c r="P19" i="7"/>
  <c r="O19" i="7"/>
  <c r="N19" i="7"/>
  <c r="M19" i="8"/>
  <c r="J19" i="8"/>
  <c r="Q19" i="7" l="1"/>
  <c r="Q19" i="9"/>
  <c r="F7" i="7"/>
  <c r="G7" i="7" s="1"/>
  <c r="E7" i="7"/>
  <c r="D7" i="7"/>
  <c r="C7" i="8"/>
  <c r="F7" i="8"/>
  <c r="F3" i="9"/>
  <c r="E3" i="9"/>
  <c r="C3" i="10"/>
  <c r="F3" i="10"/>
  <c r="D3" i="9"/>
  <c r="F7" i="9"/>
  <c r="E7" i="9"/>
  <c r="F7" i="10"/>
  <c r="C7" i="10"/>
  <c r="F7" i="5"/>
  <c r="D7" i="9"/>
  <c r="F15" i="5"/>
  <c r="E15" i="5"/>
  <c r="C15" i="6"/>
  <c r="H15" i="5" s="1"/>
  <c r="F15" i="6"/>
  <c r="I15" i="5" s="1"/>
  <c r="D15" i="5"/>
  <c r="F15" i="7"/>
  <c r="E15" i="7"/>
  <c r="F15" i="8"/>
  <c r="C15" i="8"/>
  <c r="D15" i="7"/>
  <c r="F3" i="7"/>
  <c r="E3" i="7"/>
  <c r="G3" i="7" s="1"/>
  <c r="D3" i="7"/>
  <c r="F3" i="8"/>
  <c r="C3" i="8"/>
  <c r="F3" i="1"/>
  <c r="E3" i="1"/>
  <c r="D3" i="1"/>
  <c r="F3" i="2"/>
  <c r="C3" i="2"/>
  <c r="E7" i="5"/>
  <c r="F7" i="6"/>
  <c r="C7" i="6"/>
  <c r="H7" i="5" s="1"/>
  <c r="F7" i="1"/>
  <c r="E7" i="1"/>
  <c r="F7" i="2"/>
  <c r="C7" i="2"/>
  <c r="D7" i="5"/>
  <c r="D7" i="1"/>
  <c r="H3" i="5"/>
  <c r="G15" i="5" l="1"/>
  <c r="G7" i="5"/>
  <c r="G3" i="9"/>
  <c r="G15" i="7"/>
  <c r="G7" i="9"/>
  <c r="G3" i="1"/>
  <c r="G7" i="1"/>
  <c r="S19" i="7"/>
  <c r="R19" i="7"/>
  <c r="S19" i="9"/>
  <c r="R19" i="9"/>
  <c r="R15" i="9"/>
  <c r="B18" i="10"/>
  <c r="B18" i="9" s="1"/>
  <c r="B19" i="10"/>
  <c r="B19" i="9" s="1"/>
  <c r="B19" i="8"/>
  <c r="B19" i="6"/>
  <c r="B18" i="8"/>
  <c r="B18" i="6"/>
  <c r="B19" i="2"/>
  <c r="B18" i="2"/>
  <c r="S15" i="9" l="1"/>
  <c r="S15" i="7"/>
  <c r="R15" i="7"/>
  <c r="B19" i="5"/>
  <c r="B18" i="5"/>
  <c r="B18" i="1"/>
  <c r="H7" i="9"/>
  <c r="I15" i="7"/>
  <c r="H3" i="7"/>
  <c r="I3" i="7"/>
  <c r="I7" i="9"/>
  <c r="I3" i="9"/>
  <c r="H3" i="9"/>
  <c r="H11" i="7"/>
  <c r="I11" i="7"/>
  <c r="H15" i="7"/>
  <c r="I7" i="7"/>
  <c r="H7" i="7"/>
  <c r="I7" i="5"/>
  <c r="I3" i="5"/>
  <c r="B19" i="1"/>
  <c r="I3" i="1"/>
  <c r="H3" i="1"/>
  <c r="I15" i="1"/>
  <c r="H15" i="1"/>
  <c r="I7" i="1"/>
  <c r="H7" i="1"/>
  <c r="B18" i="7" l="1"/>
  <c r="B19" i="7"/>
</calcChain>
</file>

<file path=xl/sharedStrings.xml><?xml version="1.0" encoding="utf-8"?>
<sst xmlns="http://schemas.openxmlformats.org/spreadsheetml/2006/main" count="628" uniqueCount="22">
  <si>
    <t>Ascent</t>
  </si>
  <si>
    <t>Pearl</t>
  </si>
  <si>
    <t>Ban</t>
  </si>
  <si>
    <t>Times Played</t>
  </si>
  <si>
    <t>Won</t>
  </si>
  <si>
    <t>Win%</t>
  </si>
  <si>
    <t>Rounds Played</t>
  </si>
  <si>
    <t>Rounds Won</t>
  </si>
  <si>
    <t>Round%</t>
  </si>
  <si>
    <t>Atk%</t>
  </si>
  <si>
    <t>Def%</t>
  </si>
  <si>
    <t>Haven</t>
  </si>
  <si>
    <t>Sunset</t>
  </si>
  <si>
    <t>Icebox</t>
  </si>
  <si>
    <t>Split</t>
  </si>
  <si>
    <t>Lotus</t>
  </si>
  <si>
    <t>Atk Rounds Played</t>
  </si>
  <si>
    <t>Atk Rounds Won</t>
  </si>
  <si>
    <t>Def Rounds Played</t>
  </si>
  <si>
    <t>Def Rounds Won</t>
  </si>
  <si>
    <t>Corrode</t>
  </si>
  <si>
    <t>Bind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</si>
</sst>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9" fontId="0" fillId="0" borderId="8" xfId="1" applyFont="1" applyBorder="1" applyAlignment="1">
      <alignment horizontal="left"/>
    </xf>
    <xf numFmtId="9" fontId="0" fillId="0" borderId="9" xfId="1" applyFont="1" applyBorder="1" applyAlignment="1">
      <alignment horizontal="left"/>
    </xf>
    <xf numFmtId="9" fontId="0" fillId="0" borderId="0" xfId="1" applyFont="1"/>
    <xf numFmtId="9" fontId="0" fillId="0" borderId="0" xfId="1" applyFont="1" applyAlignment="1">
      <alignment horizontal="left"/>
    </xf>
    <xf numFmtId="9" fontId="0" fillId="0" borderId="0" xfId="0" applyNumberFormat="1" applyAlignment="1">
      <alignment horizontal="left"/>
    </xf>
    <xf numFmtId="1" fontId="0" fillId="0" borderId="8" xfId="1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48"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DC9B3-843A-4EC2-8C71-8B83B0FDBD34}">
  <dimension ref="A1:S19"/>
  <sheetViews>
    <sheetView workbookViewId="0">
      <selection activeCell="E34" sqref="E34"/>
    </sheetView>
  </sheetViews>
  <sheetFormatPr defaultRowHeight="15" x14ac:dyDescent="0.25"/>
  <cols>
    <col min="2" max="2" width="12.5703125" bestFit="1" customWidth="1"/>
    <col min="5" max="5" width="14.140625" bestFit="1" customWidth="1"/>
    <col min="6" max="6" width="12.140625" bestFit="1" customWidth="1"/>
    <col min="10" max="10" width="9.140625" customWidth="1"/>
    <col min="11" max="12" width="12.5703125" bestFit="1" customWidth="1"/>
    <col min="14" max="14" width="10.5703125" customWidth="1"/>
    <col min="15" max="15" width="14.140625" bestFit="1" customWidth="1"/>
    <col min="16" max="16" width="12.140625" bestFit="1" customWidth="1"/>
    <col min="20" max="20" width="12.5703125" bestFit="1" customWidth="1"/>
    <col min="23" max="23" width="14.140625" bestFit="1" customWidth="1"/>
    <col min="24" max="24" width="12.140625" bestFit="1" customWidth="1"/>
    <col min="29" max="29" width="12.5703125" bestFit="1" customWidth="1"/>
    <col min="32" max="32" width="14.140625" bestFit="1" customWidth="1"/>
    <col min="33" max="33" width="12.140625" bestFit="1" customWidth="1"/>
    <col min="38" max="38" width="12.5703125" bestFit="1" customWidth="1"/>
    <col min="41" max="41" width="14.140625" bestFit="1" customWidth="1"/>
    <col min="42" max="42" width="12.140625" bestFit="1" customWidth="1"/>
    <col min="47" max="47" width="12.5703125" bestFit="1" customWidth="1"/>
    <col min="50" max="50" width="14.140625" bestFit="1" customWidth="1"/>
    <col min="51" max="51" width="12.140625" bestFit="1" customWidth="1"/>
    <col min="56" max="56" width="12.5703125" bestFit="1" customWidth="1"/>
    <col min="59" max="59" width="14.140625" bestFit="1" customWidth="1"/>
    <col min="60" max="60" width="12.140625" bestFit="1" customWidth="1"/>
  </cols>
  <sheetData>
    <row r="1" spans="1:19" x14ac:dyDescent="0.25">
      <c r="A1" s="13" t="s">
        <v>0</v>
      </c>
      <c r="B1" s="14"/>
      <c r="C1" s="14"/>
      <c r="D1" s="14"/>
      <c r="E1" s="14"/>
      <c r="F1" s="14"/>
      <c r="G1" s="14"/>
      <c r="H1" s="14"/>
      <c r="I1" s="15"/>
      <c r="K1" s="13" t="s">
        <v>1</v>
      </c>
      <c r="L1" s="14"/>
      <c r="M1" s="14"/>
      <c r="N1" s="14"/>
      <c r="O1" s="14"/>
      <c r="P1" s="14"/>
      <c r="Q1" s="14"/>
      <c r="R1" s="14"/>
      <c r="S1" s="15"/>
    </row>
    <row r="2" spans="1:19" x14ac:dyDescent="0.25">
      <c r="A2" s="2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3" t="s">
        <v>10</v>
      </c>
      <c r="K2" s="2" t="s">
        <v>2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3" t="s">
        <v>10</v>
      </c>
    </row>
    <row r="3" spans="1:19" ht="15.75" thickBot="1" x14ac:dyDescent="0.3">
      <c r="A3" s="4"/>
      <c r="B3" s="5">
        <v>3</v>
      </c>
      <c r="C3" s="5">
        <v>1</v>
      </c>
      <c r="D3" s="7">
        <f>C3/B3</f>
        <v>0.33333333333333331</v>
      </c>
      <c r="E3" s="5">
        <f>'CIN Data'!A3+'CIN Data'!D3</f>
        <v>61</v>
      </c>
      <c r="F3" s="5">
        <f>'CIN Data'!B3+'CIN Data'!E3</f>
        <v>33</v>
      </c>
      <c r="G3" s="7">
        <f>F3/E3</f>
        <v>0.54098360655737709</v>
      </c>
      <c r="H3" s="7">
        <f>'CIN Data'!C3</f>
        <v>0.55555555555555558</v>
      </c>
      <c r="I3" s="8">
        <f>'CIN Data'!F3</f>
        <v>0.52</v>
      </c>
      <c r="K3" s="4">
        <v>1</v>
      </c>
      <c r="L3" s="5"/>
      <c r="M3" s="5"/>
      <c r="N3" s="5"/>
      <c r="O3" s="5"/>
      <c r="P3" s="5"/>
      <c r="Q3" s="5"/>
      <c r="R3" s="7"/>
      <c r="S3" s="8"/>
    </row>
    <row r="4" spans="1:19" ht="15.75" thickBot="1" x14ac:dyDescent="0.3"/>
    <row r="5" spans="1:19" x14ac:dyDescent="0.25">
      <c r="A5" s="13" t="s">
        <v>11</v>
      </c>
      <c r="B5" s="14"/>
      <c r="C5" s="14"/>
      <c r="D5" s="14"/>
      <c r="E5" s="14"/>
      <c r="F5" s="14"/>
      <c r="G5" s="14"/>
      <c r="H5" s="14"/>
      <c r="I5" s="15"/>
      <c r="K5" s="13" t="s">
        <v>14</v>
      </c>
      <c r="L5" s="14"/>
      <c r="M5" s="14"/>
      <c r="N5" s="14"/>
      <c r="O5" s="14"/>
      <c r="P5" s="14"/>
      <c r="Q5" s="14"/>
      <c r="R5" s="14"/>
      <c r="S5" s="15"/>
    </row>
    <row r="6" spans="1:19" x14ac:dyDescent="0.25">
      <c r="A6" s="2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3" t="s">
        <v>10</v>
      </c>
      <c r="K6" s="2" t="s">
        <v>2</v>
      </c>
      <c r="L6" s="1" t="s">
        <v>3</v>
      </c>
      <c r="M6" s="1" t="s">
        <v>4</v>
      </c>
      <c r="N6" s="1" t="s">
        <v>5</v>
      </c>
      <c r="O6" s="1" t="s">
        <v>6</v>
      </c>
      <c r="P6" s="1" t="s">
        <v>7</v>
      </c>
      <c r="Q6" s="1" t="s">
        <v>8</v>
      </c>
      <c r="R6" s="1" t="s">
        <v>9</v>
      </c>
      <c r="S6" s="3" t="s">
        <v>10</v>
      </c>
    </row>
    <row r="7" spans="1:19" ht="15.75" thickBot="1" x14ac:dyDescent="0.3">
      <c r="A7" s="4">
        <v>1</v>
      </c>
      <c r="B7" s="5">
        <v>1</v>
      </c>
      <c r="C7" s="5">
        <v>0</v>
      </c>
      <c r="D7" s="7">
        <f>C7/B7</f>
        <v>0</v>
      </c>
      <c r="E7" s="5">
        <f>'CIN Data'!A7+'CIN Data'!D7</f>
        <v>22</v>
      </c>
      <c r="F7" s="5">
        <f>'CIN Data'!B7+'CIN Data'!E7</f>
        <v>9</v>
      </c>
      <c r="G7" s="7">
        <f>F7/E7</f>
        <v>0.40909090909090912</v>
      </c>
      <c r="H7" s="7">
        <f>'CIN Data'!C7</f>
        <v>0.66666666666666663</v>
      </c>
      <c r="I7" s="8">
        <f>'CIN Data'!F7</f>
        <v>0.1</v>
      </c>
      <c r="K7" s="4">
        <v>1</v>
      </c>
      <c r="L7" s="5"/>
      <c r="M7" s="5"/>
      <c r="N7" s="5"/>
      <c r="O7" s="5"/>
      <c r="P7" s="5"/>
      <c r="Q7" s="5"/>
      <c r="R7" s="7"/>
      <c r="S7" s="8"/>
    </row>
    <row r="8" spans="1:19" ht="15.75" thickBot="1" x14ac:dyDescent="0.3"/>
    <row r="9" spans="1:19" x14ac:dyDescent="0.25">
      <c r="A9" s="13" t="s">
        <v>13</v>
      </c>
      <c r="B9" s="14"/>
      <c r="C9" s="14"/>
      <c r="D9" s="14"/>
      <c r="E9" s="14"/>
      <c r="F9" s="14"/>
      <c r="G9" s="14"/>
      <c r="H9" s="14"/>
      <c r="I9" s="15"/>
      <c r="K9" s="13" t="s">
        <v>12</v>
      </c>
      <c r="L9" s="14"/>
      <c r="M9" s="14"/>
      <c r="N9" s="14"/>
      <c r="O9" s="14"/>
      <c r="P9" s="14"/>
      <c r="Q9" s="14"/>
      <c r="R9" s="14"/>
      <c r="S9" s="15"/>
    </row>
    <row r="10" spans="1:19" x14ac:dyDescent="0.25">
      <c r="A10" s="2" t="s">
        <v>2</v>
      </c>
      <c r="B10" s="1" t="s">
        <v>3</v>
      </c>
      <c r="C10" s="1" t="s">
        <v>4</v>
      </c>
      <c r="D10" s="1" t="s">
        <v>5</v>
      </c>
      <c r="E10" s="1" t="s">
        <v>6</v>
      </c>
      <c r="F10" s="1" t="s">
        <v>7</v>
      </c>
      <c r="G10" s="1" t="s">
        <v>8</v>
      </c>
      <c r="H10" s="1" t="s">
        <v>9</v>
      </c>
      <c r="I10" s="3" t="s">
        <v>10</v>
      </c>
      <c r="K10" s="2" t="s">
        <v>2</v>
      </c>
      <c r="L10" s="1" t="s">
        <v>3</v>
      </c>
      <c r="M10" s="1" t="s">
        <v>4</v>
      </c>
      <c r="N10" s="1" t="s">
        <v>5</v>
      </c>
      <c r="O10" s="1" t="s">
        <v>6</v>
      </c>
      <c r="P10" s="1" t="s">
        <v>7</v>
      </c>
      <c r="Q10" s="1" t="s">
        <v>8</v>
      </c>
      <c r="R10" s="1" t="s">
        <v>9</v>
      </c>
      <c r="S10" s="3" t="s">
        <v>10</v>
      </c>
    </row>
    <row r="11" spans="1:19" ht="15.75" thickBot="1" x14ac:dyDescent="0.3">
      <c r="A11" s="4">
        <v>2</v>
      </c>
      <c r="B11" s="5"/>
      <c r="C11" s="5"/>
      <c r="D11" s="5"/>
      <c r="E11" s="5"/>
      <c r="F11" s="5"/>
      <c r="G11" s="5"/>
      <c r="H11" s="7"/>
      <c r="I11" s="8"/>
      <c r="K11" s="4">
        <v>4</v>
      </c>
      <c r="L11" s="5"/>
      <c r="M11" s="5"/>
      <c r="N11" s="5"/>
      <c r="O11" s="5"/>
      <c r="P11" s="5"/>
      <c r="Q11" s="5"/>
      <c r="R11" s="7"/>
      <c r="S11" s="8"/>
    </row>
    <row r="12" spans="1:19" ht="15.75" thickBot="1" x14ac:dyDescent="0.3"/>
    <row r="13" spans="1:19" x14ac:dyDescent="0.25">
      <c r="A13" s="13" t="s">
        <v>15</v>
      </c>
      <c r="B13" s="14"/>
      <c r="C13" s="14"/>
      <c r="D13" s="14"/>
      <c r="E13" s="14"/>
      <c r="F13" s="14"/>
      <c r="G13" s="14"/>
      <c r="H13" s="14"/>
      <c r="I13" s="15"/>
      <c r="K13" s="13" t="s">
        <v>20</v>
      </c>
      <c r="L13" s="14"/>
      <c r="M13" s="14"/>
      <c r="N13" s="14"/>
      <c r="O13" s="14"/>
      <c r="P13" s="14"/>
      <c r="Q13" s="14"/>
      <c r="R13" s="14"/>
      <c r="S13" s="15"/>
    </row>
    <row r="14" spans="1:19" x14ac:dyDescent="0.25">
      <c r="A14" s="2" t="s">
        <v>2</v>
      </c>
      <c r="B14" s="1" t="s">
        <v>3</v>
      </c>
      <c r="C14" s="1" t="s">
        <v>4</v>
      </c>
      <c r="D14" s="1" t="s">
        <v>5</v>
      </c>
      <c r="E14" s="1" t="s">
        <v>6</v>
      </c>
      <c r="F14" s="1" t="s">
        <v>7</v>
      </c>
      <c r="G14" s="1" t="s">
        <v>8</v>
      </c>
      <c r="H14" s="1" t="s">
        <v>9</v>
      </c>
      <c r="I14" s="3" t="s">
        <v>10</v>
      </c>
      <c r="K14" s="2" t="s">
        <v>2</v>
      </c>
      <c r="L14" s="1" t="s">
        <v>3</v>
      </c>
      <c r="M14" s="1" t="s">
        <v>4</v>
      </c>
      <c r="N14" s="1" t="s">
        <v>5</v>
      </c>
      <c r="O14" s="1" t="s">
        <v>6</v>
      </c>
      <c r="P14" s="1" t="s">
        <v>7</v>
      </c>
      <c r="Q14" s="1" t="s">
        <v>8</v>
      </c>
      <c r="R14" s="1" t="s">
        <v>9</v>
      </c>
      <c r="S14" s="3" t="s">
        <v>10</v>
      </c>
    </row>
    <row r="15" spans="1:19" ht="15.75" thickBot="1" x14ac:dyDescent="0.3">
      <c r="A15" s="4">
        <v>4</v>
      </c>
      <c r="B15" s="5">
        <v>1</v>
      </c>
      <c r="C15" s="5">
        <v>0</v>
      </c>
      <c r="D15" s="5">
        <f>C15/B15</f>
        <v>0</v>
      </c>
      <c r="E15" s="12">
        <f>'CIN Data'!A15+'CIN Data'!D15</f>
        <v>30</v>
      </c>
      <c r="F15" s="5">
        <f>'CIN Data'!B15+'CIN Data'!E15</f>
        <v>14</v>
      </c>
      <c r="G15" s="7">
        <f>F15/E15</f>
        <v>0.46666666666666667</v>
      </c>
      <c r="H15" s="7">
        <f>'CIN Data'!C15</f>
        <v>0.26666666666666666</v>
      </c>
      <c r="I15" s="8">
        <f>'CIN Data'!F15</f>
        <v>0.66666666666666663</v>
      </c>
      <c r="K15" s="4"/>
      <c r="L15" s="5">
        <v>1</v>
      </c>
      <c r="M15" s="5">
        <v>0</v>
      </c>
      <c r="N15" s="7">
        <f>M15/L15</f>
        <v>0</v>
      </c>
      <c r="O15" s="5">
        <f>'CIN Data'!H15+'CIN Data'!K15</f>
        <v>20</v>
      </c>
      <c r="P15" s="5">
        <f>'CIN Data'!I15+'CIN Data'!L15</f>
        <v>7</v>
      </c>
      <c r="Q15" s="7">
        <f>P15/O15</f>
        <v>0.35</v>
      </c>
      <c r="R15" s="7">
        <f>'CIN Data'!J15</f>
        <v>0.25</v>
      </c>
      <c r="S15" s="8">
        <f>'CIN Data'!M15</f>
        <v>0.5</v>
      </c>
    </row>
    <row r="16" spans="1:19" ht="15.75" thickBot="1" x14ac:dyDescent="0.3"/>
    <row r="17" spans="1:19" x14ac:dyDescent="0.25">
      <c r="K17" s="13" t="s">
        <v>21</v>
      </c>
      <c r="L17" s="14"/>
      <c r="M17" s="14"/>
      <c r="N17" s="14"/>
      <c r="O17" s="14"/>
      <c r="P17" s="14"/>
      <c r="Q17" s="14"/>
      <c r="R17" s="14"/>
      <c r="S17" s="15"/>
    </row>
    <row r="18" spans="1:19" x14ac:dyDescent="0.25">
      <c r="A18" t="s">
        <v>9</v>
      </c>
      <c r="B18" s="11">
        <f>'CIN Data'!B18</f>
        <v>0.47674418604651164</v>
      </c>
      <c r="K18" s="2" t="s">
        <v>2</v>
      </c>
      <c r="L18" s="1" t="s">
        <v>3</v>
      </c>
      <c r="M18" s="1" t="s">
        <v>4</v>
      </c>
      <c r="N18" s="1" t="s">
        <v>5</v>
      </c>
      <c r="O18" s="1" t="s">
        <v>6</v>
      </c>
      <c r="P18" s="1" t="s">
        <v>7</v>
      </c>
      <c r="Q18" s="1" t="s">
        <v>8</v>
      </c>
      <c r="R18" s="1" t="s">
        <v>9</v>
      </c>
      <c r="S18" s="3" t="s">
        <v>10</v>
      </c>
    </row>
    <row r="19" spans="1:19" ht="15.75" thickBot="1" x14ac:dyDescent="0.3">
      <c r="A19" t="s">
        <v>10</v>
      </c>
      <c r="B19" s="11">
        <f>'CIN Data'!B19</f>
        <v>0.45714285714285713</v>
      </c>
      <c r="K19" s="4"/>
      <c r="L19" s="5">
        <v>1</v>
      </c>
      <c r="M19" s="5">
        <v>0</v>
      </c>
      <c r="N19" s="7">
        <f>M19/L19</f>
        <v>0</v>
      </c>
      <c r="O19" s="5">
        <f>'CIN Data'!H19+'CIN Data'!K19</f>
        <v>23</v>
      </c>
      <c r="P19" s="5">
        <f>'CIN Data'!I19+'CIN Data'!L19</f>
        <v>10</v>
      </c>
      <c r="Q19" s="7">
        <f>P19/O19</f>
        <v>0.43478260869565216</v>
      </c>
      <c r="R19" s="7">
        <f>'CIN Data'!J19</f>
        <v>0.54545454545454541</v>
      </c>
      <c r="S19" s="8">
        <f>'CIN Data'!M19</f>
        <v>0.33333333333333331</v>
      </c>
    </row>
  </sheetData>
  <mergeCells count="9">
    <mergeCell ref="K17:S17"/>
    <mergeCell ref="A13:I13"/>
    <mergeCell ref="K1:S1"/>
    <mergeCell ref="K9:S9"/>
    <mergeCell ref="K5:S5"/>
    <mergeCell ref="A1:I1"/>
    <mergeCell ref="A5:I5"/>
    <mergeCell ref="A9:I9"/>
    <mergeCell ref="K13:S13"/>
  </mergeCells>
  <conditionalFormatting sqref="B18:B19">
    <cfRule type="cellIs" dxfId="47" priority="25" operator="between">
      <formula>0.5</formula>
      <formula>1</formula>
    </cfRule>
    <cfRule type="cellIs" dxfId="46" priority="26" operator="between">
      <formula>0</formula>
      <formula>0.5</formula>
    </cfRule>
  </conditionalFormatting>
  <conditionalFormatting sqref="K11 K7 A3 A7 A11 A15 K3 K15 K19">
    <cfRule type="top10" dxfId="45" priority="33" rank="1"/>
  </conditionalFormatting>
  <conditionalFormatting sqref="L11 L7 B3 B7 B11 B15 L3 L15 L19">
    <cfRule type="top10" dxfId="44" priority="34" rank="1"/>
  </conditionalFormatting>
  <conditionalFormatting sqref="N11 N7 D3 D7 D11 D15 N3 N15 N19">
    <cfRule type="top10" dxfId="43" priority="24" rank="1"/>
    <cfRule type="top10" dxfId="42" priority="32" bottom="1" rank="1"/>
  </conditionalFormatting>
  <conditionalFormatting sqref="Q11 Q7 G3 G7 G11 G15 Q3 Q15 Q19">
    <cfRule type="top10" dxfId="41" priority="23" rank="1"/>
    <cfRule type="top10" dxfId="40" priority="31" bottom="1" rank="1"/>
  </conditionalFormatting>
  <conditionalFormatting sqref="R11 R7 H3 H7 H11 H15 R3 R15 R19">
    <cfRule type="top10" dxfId="39" priority="22" rank="1"/>
    <cfRule type="top10" dxfId="38" priority="30" bottom="1" rank="1"/>
  </conditionalFormatting>
  <conditionalFormatting sqref="S11 S7 I3 I7 I11 I15 S3 S15 S19">
    <cfRule type="top10" dxfId="37" priority="21" rank="1"/>
    <cfRule type="top10" dxfId="36" priority="29" bottom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F00A-C5B0-4BA8-8E44-5F98151FD64F}">
  <dimension ref="A1:M19"/>
  <sheetViews>
    <sheetView workbookViewId="0">
      <selection activeCell="H22" sqref="H22"/>
    </sheetView>
  </sheetViews>
  <sheetFormatPr defaultRowHeight="15" x14ac:dyDescent="0.25"/>
  <cols>
    <col min="1" max="1" width="17.42578125" bestFit="1" customWidth="1"/>
    <col min="2" max="2" width="15.42578125" bestFit="1" customWidth="1"/>
    <col min="4" max="4" width="17.42578125" bestFit="1" customWidth="1"/>
    <col min="5" max="5" width="15.42578125" bestFit="1" customWidth="1"/>
    <col min="8" max="8" width="17.42578125" bestFit="1" customWidth="1"/>
    <col min="9" max="9" width="15.42578125" bestFit="1" customWidth="1"/>
    <col min="11" max="11" width="17.5703125" bestFit="1" customWidth="1"/>
    <col min="12" max="12" width="15.5703125" bestFit="1" customWidth="1"/>
  </cols>
  <sheetData>
    <row r="1" spans="1:13" x14ac:dyDescent="0.25">
      <c r="A1" s="13" t="s">
        <v>0</v>
      </c>
      <c r="B1" s="14"/>
      <c r="C1" s="14"/>
      <c r="D1" s="14"/>
      <c r="E1" s="14"/>
      <c r="F1" s="15"/>
      <c r="H1" s="13" t="s">
        <v>1</v>
      </c>
      <c r="I1" s="14"/>
      <c r="J1" s="14"/>
      <c r="K1" s="14"/>
      <c r="L1" s="14"/>
      <c r="M1" s="15"/>
    </row>
    <row r="2" spans="1:13" x14ac:dyDescent="0.25">
      <c r="A2" s="2" t="s">
        <v>16</v>
      </c>
      <c r="B2" s="1" t="s">
        <v>17</v>
      </c>
      <c r="C2" s="1" t="s">
        <v>9</v>
      </c>
      <c r="D2" s="1" t="s">
        <v>18</v>
      </c>
      <c r="E2" s="1" t="s">
        <v>19</v>
      </c>
      <c r="F2" s="3" t="s">
        <v>10</v>
      </c>
      <c r="H2" s="2" t="s">
        <v>16</v>
      </c>
      <c r="I2" s="1" t="s">
        <v>17</v>
      </c>
      <c r="J2" s="1" t="s">
        <v>9</v>
      </c>
      <c r="K2" s="1" t="s">
        <v>18</v>
      </c>
      <c r="L2" s="1" t="s">
        <v>19</v>
      </c>
      <c r="M2" s="3" t="s">
        <v>10</v>
      </c>
    </row>
    <row r="3" spans="1:13" ht="15.75" thickBot="1" x14ac:dyDescent="0.3">
      <c r="A3" s="4">
        <v>36</v>
      </c>
      <c r="B3" s="5">
        <v>20</v>
      </c>
      <c r="C3" s="7">
        <f>B3/A3</f>
        <v>0.55555555555555558</v>
      </c>
      <c r="D3" s="5">
        <v>25</v>
      </c>
      <c r="E3" s="5">
        <v>13</v>
      </c>
      <c r="F3" s="8">
        <f>E3/D3</f>
        <v>0.52</v>
      </c>
      <c r="H3" s="4"/>
      <c r="I3" s="5"/>
      <c r="J3" s="5"/>
      <c r="K3" s="5"/>
      <c r="L3" s="5"/>
      <c r="M3" s="6"/>
    </row>
    <row r="4" spans="1:13" ht="15.75" thickBot="1" x14ac:dyDescent="0.3"/>
    <row r="5" spans="1:13" x14ac:dyDescent="0.25">
      <c r="A5" s="13" t="s">
        <v>11</v>
      </c>
      <c r="B5" s="14"/>
      <c r="C5" s="14"/>
      <c r="D5" s="14"/>
      <c r="E5" s="14"/>
      <c r="F5" s="15"/>
      <c r="H5" s="13" t="s">
        <v>14</v>
      </c>
      <c r="I5" s="14"/>
      <c r="J5" s="14"/>
      <c r="K5" s="14"/>
      <c r="L5" s="14"/>
      <c r="M5" s="15"/>
    </row>
    <row r="6" spans="1:13" x14ac:dyDescent="0.25">
      <c r="A6" s="2" t="s">
        <v>16</v>
      </c>
      <c r="B6" s="1" t="s">
        <v>17</v>
      </c>
      <c r="C6" s="1" t="s">
        <v>9</v>
      </c>
      <c r="D6" s="1" t="s">
        <v>18</v>
      </c>
      <c r="E6" s="1" t="s">
        <v>19</v>
      </c>
      <c r="F6" s="3" t="s">
        <v>10</v>
      </c>
      <c r="H6" s="2" t="s">
        <v>16</v>
      </c>
      <c r="I6" s="1" t="s">
        <v>17</v>
      </c>
      <c r="J6" s="1" t="s">
        <v>9</v>
      </c>
      <c r="K6" s="1" t="s">
        <v>18</v>
      </c>
      <c r="L6" s="1" t="s">
        <v>19</v>
      </c>
      <c r="M6" s="3" t="s">
        <v>10</v>
      </c>
    </row>
    <row r="7" spans="1:13" ht="15.75" thickBot="1" x14ac:dyDescent="0.3">
      <c r="A7" s="4">
        <v>12</v>
      </c>
      <c r="B7" s="5">
        <v>8</v>
      </c>
      <c r="C7" s="7">
        <f>B7/A7</f>
        <v>0.66666666666666663</v>
      </c>
      <c r="D7" s="5">
        <v>10</v>
      </c>
      <c r="E7" s="5">
        <v>1</v>
      </c>
      <c r="F7" s="8">
        <f>E7/D7</f>
        <v>0.1</v>
      </c>
      <c r="H7" s="4"/>
      <c r="I7" s="5"/>
      <c r="J7" s="5"/>
      <c r="K7" s="5"/>
      <c r="L7" s="5"/>
      <c r="M7" s="6"/>
    </row>
    <row r="8" spans="1:13" ht="15.75" thickBot="1" x14ac:dyDescent="0.3"/>
    <row r="9" spans="1:13" x14ac:dyDescent="0.25">
      <c r="A9" s="13" t="s">
        <v>13</v>
      </c>
      <c r="B9" s="14"/>
      <c r="C9" s="14"/>
      <c r="D9" s="14"/>
      <c r="E9" s="14"/>
      <c r="F9" s="15"/>
      <c r="H9" s="13" t="s">
        <v>12</v>
      </c>
      <c r="I9" s="14"/>
      <c r="J9" s="14"/>
      <c r="K9" s="14"/>
      <c r="L9" s="14"/>
      <c r="M9" s="15"/>
    </row>
    <row r="10" spans="1:13" x14ac:dyDescent="0.25">
      <c r="A10" s="2" t="s">
        <v>16</v>
      </c>
      <c r="B10" s="1" t="s">
        <v>17</v>
      </c>
      <c r="C10" s="1" t="s">
        <v>9</v>
      </c>
      <c r="D10" s="1" t="s">
        <v>18</v>
      </c>
      <c r="E10" s="1" t="s">
        <v>19</v>
      </c>
      <c r="F10" s="3" t="s">
        <v>10</v>
      </c>
      <c r="H10" s="2" t="s">
        <v>16</v>
      </c>
      <c r="I10" s="1" t="s">
        <v>17</v>
      </c>
      <c r="J10" s="1" t="s">
        <v>9</v>
      </c>
      <c r="K10" s="1" t="s">
        <v>18</v>
      </c>
      <c r="L10" s="1" t="s">
        <v>19</v>
      </c>
      <c r="M10" s="3" t="s">
        <v>10</v>
      </c>
    </row>
    <row r="11" spans="1:13" ht="15.75" thickBot="1" x14ac:dyDescent="0.3">
      <c r="A11" s="4"/>
      <c r="B11" s="5"/>
      <c r="C11" s="5"/>
      <c r="D11" s="5"/>
      <c r="E11" s="5"/>
      <c r="F11" s="6"/>
      <c r="H11" s="4"/>
      <c r="I11" s="5"/>
      <c r="J11" s="5"/>
      <c r="K11" s="5"/>
      <c r="L11" s="5"/>
      <c r="M11" s="6"/>
    </row>
    <row r="12" spans="1:13" ht="15.75" thickBot="1" x14ac:dyDescent="0.3"/>
    <row r="13" spans="1:13" x14ac:dyDescent="0.25">
      <c r="A13" s="13" t="s">
        <v>15</v>
      </c>
      <c r="B13" s="14"/>
      <c r="C13" s="14"/>
      <c r="D13" s="14"/>
      <c r="E13" s="14"/>
      <c r="F13" s="15"/>
      <c r="H13" s="13" t="s">
        <v>20</v>
      </c>
      <c r="I13" s="14"/>
      <c r="J13" s="14"/>
      <c r="K13" s="14"/>
      <c r="L13" s="14"/>
      <c r="M13" s="15"/>
    </row>
    <row r="14" spans="1:13" x14ac:dyDescent="0.25">
      <c r="A14" s="2" t="s">
        <v>16</v>
      </c>
      <c r="B14" s="1" t="s">
        <v>17</v>
      </c>
      <c r="C14" s="1" t="s">
        <v>9</v>
      </c>
      <c r="D14" s="1" t="s">
        <v>18</v>
      </c>
      <c r="E14" s="1" t="s">
        <v>19</v>
      </c>
      <c r="F14" s="3" t="s">
        <v>10</v>
      </c>
      <c r="H14" s="2" t="s">
        <v>16</v>
      </c>
      <c r="I14" s="1" t="s">
        <v>17</v>
      </c>
      <c r="J14" s="1" t="s">
        <v>9</v>
      </c>
      <c r="K14" s="1" t="s">
        <v>18</v>
      </c>
      <c r="L14" s="1" t="s">
        <v>19</v>
      </c>
      <c r="M14" s="3" t="s">
        <v>10</v>
      </c>
    </row>
    <row r="15" spans="1:13" ht="15.75" thickBot="1" x14ac:dyDescent="0.3">
      <c r="A15" s="4">
        <v>15</v>
      </c>
      <c r="B15" s="5">
        <v>4</v>
      </c>
      <c r="C15" s="7">
        <f>B15/A15</f>
        <v>0.26666666666666666</v>
      </c>
      <c r="D15" s="5">
        <v>15</v>
      </c>
      <c r="E15" s="5">
        <v>10</v>
      </c>
      <c r="F15" s="8">
        <f>E15/D15</f>
        <v>0.66666666666666663</v>
      </c>
      <c r="H15" s="4">
        <v>12</v>
      </c>
      <c r="I15" s="5">
        <v>3</v>
      </c>
      <c r="J15" s="7">
        <f>I15/H15</f>
        <v>0.25</v>
      </c>
      <c r="K15" s="5">
        <v>8</v>
      </c>
      <c r="L15" s="5">
        <v>4</v>
      </c>
      <c r="M15" s="8">
        <f>L15/K15</f>
        <v>0.5</v>
      </c>
    </row>
    <row r="16" spans="1:13" ht="15.75" thickBot="1" x14ac:dyDescent="0.3"/>
    <row r="17" spans="1:13" x14ac:dyDescent="0.25">
      <c r="H17" s="13" t="s">
        <v>21</v>
      </c>
      <c r="I17" s="14"/>
      <c r="J17" s="14"/>
      <c r="K17" s="14"/>
      <c r="L17" s="14"/>
      <c r="M17" s="15"/>
    </row>
    <row r="18" spans="1:13" x14ac:dyDescent="0.25">
      <c r="A18" t="s">
        <v>9</v>
      </c>
      <c r="B18" s="10">
        <f>(B3+B7+B11+B15+I3+I7+I11+I15+I19)/(A3+A7+A11+A15+H3+H7+H11+H15+H19)</f>
        <v>0.47674418604651164</v>
      </c>
      <c r="H18" s="2" t="s">
        <v>16</v>
      </c>
      <c r="I18" s="1" t="s">
        <v>17</v>
      </c>
      <c r="J18" s="1" t="s">
        <v>9</v>
      </c>
      <c r="K18" s="1" t="s">
        <v>18</v>
      </c>
      <c r="L18" s="1" t="s">
        <v>19</v>
      </c>
      <c r="M18" s="3" t="s">
        <v>10</v>
      </c>
    </row>
    <row r="19" spans="1:13" ht="15.75" thickBot="1" x14ac:dyDescent="0.3">
      <c r="A19" t="s">
        <v>10</v>
      </c>
      <c r="B19" s="10">
        <f>(E3+E7+E11+E15+L11+L7+L3+L15+L19)/(D3+D7+D11+D15+K11+K7+K3+K15+K19)</f>
        <v>0.45714285714285713</v>
      </c>
      <c r="H19" s="4">
        <v>11</v>
      </c>
      <c r="I19" s="5">
        <v>6</v>
      </c>
      <c r="J19" s="7">
        <f>I19/H19</f>
        <v>0.54545454545454541</v>
      </c>
      <c r="K19" s="5">
        <v>12</v>
      </c>
      <c r="L19" s="5">
        <v>4</v>
      </c>
      <c r="M19" s="8">
        <f>L19/K19</f>
        <v>0.33333333333333331</v>
      </c>
    </row>
  </sheetData>
  <mergeCells count="9">
    <mergeCell ref="H17:M17"/>
    <mergeCell ref="A13:F13"/>
    <mergeCell ref="H1:M1"/>
    <mergeCell ref="H5:M5"/>
    <mergeCell ref="H9:M9"/>
    <mergeCell ref="A1:F1"/>
    <mergeCell ref="A5:F5"/>
    <mergeCell ref="A9:F9"/>
    <mergeCell ref="H13:M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C7CB-BFFB-4ED9-8585-67F4B6E1689B}">
  <dimension ref="A1:S21"/>
  <sheetViews>
    <sheetView workbookViewId="0">
      <selection activeCell="F27" sqref="F27"/>
    </sheetView>
  </sheetViews>
  <sheetFormatPr defaultRowHeight="15" x14ac:dyDescent="0.25"/>
  <cols>
    <col min="2" max="2" width="12.5703125" bestFit="1" customWidth="1"/>
    <col min="5" max="5" width="14.140625" bestFit="1" customWidth="1"/>
    <col min="6" max="6" width="12.140625" bestFit="1" customWidth="1"/>
    <col min="11" max="12" width="12.5703125" bestFit="1" customWidth="1"/>
    <col min="14" max="14" width="10.5703125" customWidth="1"/>
    <col min="15" max="15" width="14.140625" bestFit="1" customWidth="1"/>
    <col min="16" max="16" width="12.140625" bestFit="1" customWidth="1"/>
    <col min="20" max="20" width="12.5703125" bestFit="1" customWidth="1"/>
    <col min="23" max="23" width="14.140625" bestFit="1" customWidth="1"/>
    <col min="24" max="24" width="12.140625" bestFit="1" customWidth="1"/>
    <col min="29" max="29" width="12.5703125" bestFit="1" customWidth="1"/>
    <col min="32" max="32" width="14.140625" bestFit="1" customWidth="1"/>
    <col min="33" max="33" width="12.140625" bestFit="1" customWidth="1"/>
    <col min="38" max="38" width="12.5703125" bestFit="1" customWidth="1"/>
    <col min="41" max="41" width="14.140625" bestFit="1" customWidth="1"/>
    <col min="42" max="42" width="12.140625" bestFit="1" customWidth="1"/>
    <col min="47" max="47" width="12.5703125" bestFit="1" customWidth="1"/>
    <col min="50" max="50" width="14.140625" bestFit="1" customWidth="1"/>
    <col min="51" max="51" width="12.140625" bestFit="1" customWidth="1"/>
    <col min="56" max="56" width="12.5703125" bestFit="1" customWidth="1"/>
    <col min="59" max="59" width="14.140625" bestFit="1" customWidth="1"/>
    <col min="60" max="60" width="12.140625" bestFit="1" customWidth="1"/>
  </cols>
  <sheetData>
    <row r="1" spans="1:19" x14ac:dyDescent="0.25">
      <c r="A1" s="13" t="s">
        <v>0</v>
      </c>
      <c r="B1" s="14"/>
      <c r="C1" s="14"/>
      <c r="D1" s="14"/>
      <c r="E1" s="14"/>
      <c r="F1" s="14"/>
      <c r="G1" s="14"/>
      <c r="H1" s="14"/>
      <c r="I1" s="15"/>
      <c r="K1" s="13" t="s">
        <v>1</v>
      </c>
      <c r="L1" s="14"/>
      <c r="M1" s="14"/>
      <c r="N1" s="14"/>
      <c r="O1" s="14"/>
      <c r="P1" s="14"/>
      <c r="Q1" s="14"/>
      <c r="R1" s="14"/>
      <c r="S1" s="15"/>
    </row>
    <row r="2" spans="1:19" x14ac:dyDescent="0.25">
      <c r="A2" s="2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3" t="s">
        <v>10</v>
      </c>
      <c r="K2" s="2" t="s">
        <v>2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3" t="s">
        <v>10</v>
      </c>
    </row>
    <row r="3" spans="1:19" ht="15.75" thickBot="1" x14ac:dyDescent="0.3">
      <c r="A3" s="4">
        <v>3</v>
      </c>
      <c r="B3" s="5">
        <v>3</v>
      </c>
      <c r="C3" s="5">
        <v>2</v>
      </c>
      <c r="D3" s="7">
        <f>C3/B3</f>
        <v>0.66666666666666663</v>
      </c>
      <c r="E3" s="5">
        <f>'KAT Data'!A3+'KAT Data'!D3</f>
        <v>50</v>
      </c>
      <c r="F3" s="5">
        <f>'KAT Data'!B3+'KAT Data'!E3</f>
        <v>31</v>
      </c>
      <c r="G3" s="7">
        <f>F3/E3</f>
        <v>0.62</v>
      </c>
      <c r="H3" s="7">
        <f>'KAT Data'!C3</f>
        <v>0.4</v>
      </c>
      <c r="I3" s="8">
        <f>'KAT Data'!F3</f>
        <v>0.76666666666666672</v>
      </c>
      <c r="K3" s="4">
        <v>2</v>
      </c>
      <c r="L3" s="5"/>
      <c r="M3" s="5"/>
      <c r="N3" s="5"/>
      <c r="O3" s="5"/>
      <c r="P3" s="5"/>
      <c r="Q3" s="5"/>
      <c r="R3" s="7"/>
      <c r="S3" s="8"/>
    </row>
    <row r="4" spans="1:19" ht="15.75" thickBot="1" x14ac:dyDescent="0.3"/>
    <row r="5" spans="1:19" x14ac:dyDescent="0.25">
      <c r="A5" s="13" t="s">
        <v>11</v>
      </c>
      <c r="B5" s="14"/>
      <c r="C5" s="14"/>
      <c r="D5" s="14"/>
      <c r="E5" s="14"/>
      <c r="F5" s="14"/>
      <c r="G5" s="14"/>
      <c r="H5" s="14"/>
      <c r="I5" s="15"/>
      <c r="K5" s="13" t="s">
        <v>14</v>
      </c>
      <c r="L5" s="14"/>
      <c r="M5" s="14"/>
      <c r="N5" s="14"/>
      <c r="O5" s="14"/>
      <c r="P5" s="14"/>
      <c r="Q5" s="14"/>
      <c r="R5" s="14"/>
      <c r="S5" s="15"/>
    </row>
    <row r="6" spans="1:19" x14ac:dyDescent="0.25">
      <c r="A6" s="2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3" t="s">
        <v>10</v>
      </c>
      <c r="K6" s="2" t="s">
        <v>2</v>
      </c>
      <c r="L6" s="1" t="s">
        <v>3</v>
      </c>
      <c r="M6" s="1" t="s">
        <v>4</v>
      </c>
      <c r="N6" s="1" t="s">
        <v>5</v>
      </c>
      <c r="O6" s="1" t="s">
        <v>6</v>
      </c>
      <c r="P6" s="1" t="s">
        <v>7</v>
      </c>
      <c r="Q6" s="1" t="s">
        <v>8</v>
      </c>
      <c r="R6" s="1" t="s">
        <v>9</v>
      </c>
      <c r="S6" s="3" t="s">
        <v>10</v>
      </c>
    </row>
    <row r="7" spans="1:19" ht="15.75" thickBot="1" x14ac:dyDescent="0.3">
      <c r="A7" s="4"/>
      <c r="B7" s="5">
        <v>3</v>
      </c>
      <c r="C7" s="5">
        <v>1</v>
      </c>
      <c r="D7" s="7">
        <f>C7/B7</f>
        <v>0.33333333333333331</v>
      </c>
      <c r="E7" s="5">
        <f>'KAT Data'!A7+'KAT Data'!D7</f>
        <v>65</v>
      </c>
      <c r="F7" s="5">
        <f>'KAT Data'!B7+'KAT Data'!E7</f>
        <v>30</v>
      </c>
      <c r="G7" s="7">
        <f>F7/E7</f>
        <v>0.46153846153846156</v>
      </c>
      <c r="H7" s="7">
        <f>'KAT Data'!C7</f>
        <v>0.72413793103448276</v>
      </c>
      <c r="I7" s="8">
        <f>'KAT Data'!F7</f>
        <v>0.25</v>
      </c>
      <c r="K7" s="4">
        <v>1</v>
      </c>
      <c r="L7" s="5"/>
      <c r="M7" s="5"/>
      <c r="N7" s="5"/>
      <c r="O7" s="5"/>
      <c r="P7" s="5"/>
      <c r="Q7" s="5"/>
      <c r="R7" s="7"/>
      <c r="S7" s="8"/>
    </row>
    <row r="8" spans="1:19" ht="15.75" thickBot="1" x14ac:dyDescent="0.3"/>
    <row r="9" spans="1:19" x14ac:dyDescent="0.25">
      <c r="A9" s="13" t="s">
        <v>13</v>
      </c>
      <c r="B9" s="14"/>
      <c r="C9" s="14"/>
      <c r="D9" s="14"/>
      <c r="E9" s="14"/>
      <c r="F9" s="14"/>
      <c r="G9" s="14"/>
      <c r="H9" s="14"/>
      <c r="I9" s="15"/>
      <c r="K9" s="13" t="s">
        <v>12</v>
      </c>
      <c r="L9" s="14"/>
      <c r="M9" s="14"/>
      <c r="N9" s="14"/>
      <c r="O9" s="14"/>
      <c r="P9" s="14"/>
      <c r="Q9" s="14"/>
      <c r="R9" s="14"/>
      <c r="S9" s="15"/>
    </row>
    <row r="10" spans="1:19" x14ac:dyDescent="0.25">
      <c r="A10" s="2" t="s">
        <v>2</v>
      </c>
      <c r="B10" s="1" t="s">
        <v>3</v>
      </c>
      <c r="C10" s="1" t="s">
        <v>4</v>
      </c>
      <c r="D10" s="1" t="s">
        <v>5</v>
      </c>
      <c r="E10" s="1" t="s">
        <v>6</v>
      </c>
      <c r="F10" s="1" t="s">
        <v>7</v>
      </c>
      <c r="G10" s="1" t="s">
        <v>8</v>
      </c>
      <c r="H10" s="1" t="s">
        <v>9</v>
      </c>
      <c r="I10" s="3" t="s">
        <v>10</v>
      </c>
      <c r="K10" s="2" t="s">
        <v>2</v>
      </c>
      <c r="L10" s="1" t="s">
        <v>3</v>
      </c>
      <c r="M10" s="1" t="s">
        <v>4</v>
      </c>
      <c r="N10" s="1" t="s">
        <v>5</v>
      </c>
      <c r="O10" s="1" t="s">
        <v>6</v>
      </c>
      <c r="P10" s="1" t="s">
        <v>7</v>
      </c>
      <c r="Q10" s="1" t="s">
        <v>8</v>
      </c>
      <c r="R10" s="1" t="s">
        <v>9</v>
      </c>
      <c r="S10" s="3" t="s">
        <v>10</v>
      </c>
    </row>
    <row r="11" spans="1:19" ht="15.75" thickBot="1" x14ac:dyDescent="0.3">
      <c r="A11" s="4">
        <v>1</v>
      </c>
      <c r="B11" s="5">
        <v>1</v>
      </c>
      <c r="C11" s="5">
        <v>0</v>
      </c>
      <c r="D11" s="5">
        <f>C11/B11</f>
        <v>0</v>
      </c>
      <c r="E11" s="5">
        <f>'KAT Data'!A11+'KAT Data'!D11</f>
        <v>21</v>
      </c>
      <c r="F11" s="5">
        <f>'KAT Data'!B11+'KAT Data'!E11</f>
        <v>9</v>
      </c>
      <c r="G11" s="7">
        <f>F11/E11</f>
        <v>0.42857142857142855</v>
      </c>
      <c r="H11" s="7">
        <f>'KAT Data'!C11</f>
        <v>0.66666666666666663</v>
      </c>
      <c r="I11" s="8">
        <f>'KAT Data'!F11</f>
        <v>0.25</v>
      </c>
      <c r="K11" s="4">
        <v>3</v>
      </c>
      <c r="L11" s="5">
        <v>2</v>
      </c>
      <c r="M11" s="5">
        <v>1</v>
      </c>
      <c r="N11" s="7">
        <f>M11/L11</f>
        <v>0.5</v>
      </c>
      <c r="O11" s="5">
        <f>'KAT Data'!H11+'KAT Data'!K11</f>
        <v>46</v>
      </c>
      <c r="P11" s="5">
        <f>'KAT Data'!I11+'KAT Data'!L11</f>
        <v>24</v>
      </c>
      <c r="Q11" s="7">
        <f>P11/O11</f>
        <v>0.52173913043478259</v>
      </c>
      <c r="R11" s="7">
        <f>'KAT Data'!J11</f>
        <v>0.54166666666666663</v>
      </c>
      <c r="S11" s="8">
        <f>'KAT Data'!M11</f>
        <v>0.5</v>
      </c>
    </row>
    <row r="12" spans="1:19" ht="15.75" thickBot="1" x14ac:dyDescent="0.3"/>
    <row r="13" spans="1:19" x14ac:dyDescent="0.25">
      <c r="A13" s="13" t="s">
        <v>15</v>
      </c>
      <c r="B13" s="14"/>
      <c r="C13" s="14"/>
      <c r="D13" s="14"/>
      <c r="E13" s="14"/>
      <c r="F13" s="14"/>
      <c r="G13" s="14"/>
      <c r="H13" s="14"/>
      <c r="I13" s="15"/>
      <c r="K13" s="13" t="s">
        <v>20</v>
      </c>
      <c r="L13" s="14"/>
      <c r="M13" s="14"/>
      <c r="N13" s="14"/>
      <c r="O13" s="14"/>
      <c r="P13" s="14"/>
      <c r="Q13" s="14"/>
      <c r="R13" s="14"/>
      <c r="S13" s="15"/>
    </row>
    <row r="14" spans="1:19" x14ac:dyDescent="0.25">
      <c r="A14" s="2" t="s">
        <v>2</v>
      </c>
      <c r="B14" s="1" t="s">
        <v>3</v>
      </c>
      <c r="C14" s="1" t="s">
        <v>4</v>
      </c>
      <c r="D14" s="1" t="s">
        <v>5</v>
      </c>
      <c r="E14" s="1" t="s">
        <v>6</v>
      </c>
      <c r="F14" s="1" t="s">
        <v>7</v>
      </c>
      <c r="G14" s="1" t="s">
        <v>8</v>
      </c>
      <c r="H14" s="1" t="s">
        <v>9</v>
      </c>
      <c r="I14" s="3" t="s">
        <v>10</v>
      </c>
      <c r="K14" s="2" t="s">
        <v>2</v>
      </c>
      <c r="L14" s="1" t="s">
        <v>3</v>
      </c>
      <c r="M14" s="1" t="s">
        <v>4</v>
      </c>
      <c r="N14" s="1" t="s">
        <v>5</v>
      </c>
      <c r="O14" s="1" t="s">
        <v>6</v>
      </c>
      <c r="P14" s="1" t="s">
        <v>7</v>
      </c>
      <c r="Q14" s="1" t="s">
        <v>8</v>
      </c>
      <c r="R14" s="1" t="s">
        <v>9</v>
      </c>
      <c r="S14" s="3" t="s">
        <v>10</v>
      </c>
    </row>
    <row r="15" spans="1:19" ht="15.75" thickBot="1" x14ac:dyDescent="0.3">
      <c r="A15" s="4"/>
      <c r="B15" s="5">
        <v>3</v>
      </c>
      <c r="C15" s="5">
        <v>0</v>
      </c>
      <c r="D15" s="7">
        <f>C15/B15</f>
        <v>0</v>
      </c>
      <c r="E15" s="5">
        <f>'KAT Data'!A15+'KAT Data'!D15</f>
        <v>58</v>
      </c>
      <c r="F15" s="5">
        <f>'KAT Data'!B15+'KAT Data'!E15</f>
        <v>19</v>
      </c>
      <c r="G15" s="7">
        <f>F15/E15</f>
        <v>0.32758620689655171</v>
      </c>
      <c r="H15" s="7">
        <f>'KAT Data'!C15</f>
        <v>0.44</v>
      </c>
      <c r="I15" s="8">
        <f>'KAT Data'!F15</f>
        <v>0.24242424242424243</v>
      </c>
      <c r="K15" s="4">
        <v>3</v>
      </c>
      <c r="L15" s="5">
        <v>1</v>
      </c>
      <c r="M15" s="5">
        <v>1</v>
      </c>
      <c r="N15" s="7">
        <f>M15/L15</f>
        <v>1</v>
      </c>
      <c r="O15" s="5">
        <f>'KAT Data'!H15+'KAT Data'!K15</f>
        <v>15</v>
      </c>
      <c r="P15" s="5">
        <f>'KAT Data'!I15+'KAT Data'!L15</f>
        <v>13</v>
      </c>
      <c r="Q15" s="7">
        <f>P15/O15</f>
        <v>0.8666666666666667</v>
      </c>
      <c r="R15" s="7">
        <f>'KAT Data'!J15</f>
        <v>0.66666666666666663</v>
      </c>
      <c r="S15" s="8">
        <f>'KAT Data'!M15</f>
        <v>0.91666666666666663</v>
      </c>
    </row>
    <row r="16" spans="1:19" ht="15.75" thickBot="1" x14ac:dyDescent="0.3"/>
    <row r="17" spans="1:19" x14ac:dyDescent="0.25">
      <c r="K17" s="13" t="s">
        <v>21</v>
      </c>
      <c r="L17" s="14"/>
      <c r="M17" s="14"/>
      <c r="N17" s="14"/>
      <c r="O17" s="14"/>
      <c r="P17" s="14"/>
      <c r="Q17" s="14"/>
      <c r="R17" s="14"/>
      <c r="S17" s="15"/>
    </row>
    <row r="18" spans="1:19" x14ac:dyDescent="0.25">
      <c r="A18" t="s">
        <v>9</v>
      </c>
      <c r="B18" s="11">
        <f>'KAT Data'!B18</f>
        <v>0.58108108108108103</v>
      </c>
      <c r="K18" s="2" t="s">
        <v>2</v>
      </c>
      <c r="L18" s="1" t="s">
        <v>3</v>
      </c>
      <c r="M18" s="1" t="s">
        <v>4</v>
      </c>
      <c r="N18" s="1" t="s">
        <v>5</v>
      </c>
      <c r="O18" s="1" t="s">
        <v>6</v>
      </c>
      <c r="P18" s="1" t="s">
        <v>7</v>
      </c>
      <c r="Q18" s="1" t="s">
        <v>8</v>
      </c>
      <c r="R18" s="1" t="s">
        <v>9</v>
      </c>
      <c r="S18" s="3" t="s">
        <v>10</v>
      </c>
    </row>
    <row r="19" spans="1:19" ht="15.75" thickBot="1" x14ac:dyDescent="0.3">
      <c r="A19" t="s">
        <v>10</v>
      </c>
      <c r="B19" s="11">
        <f>'KAT Data'!B19</f>
        <v>0.45</v>
      </c>
      <c r="K19" s="4"/>
      <c r="L19" s="5">
        <v>3</v>
      </c>
      <c r="M19" s="5">
        <v>3</v>
      </c>
      <c r="N19" s="7">
        <f>M19/L19</f>
        <v>1</v>
      </c>
      <c r="O19" s="5">
        <f>'KAT Data'!H19+'KAT Data'!K19</f>
        <v>73</v>
      </c>
      <c r="P19" s="5">
        <f>'KAT Data'!I19+'KAT Data'!L19</f>
        <v>41</v>
      </c>
      <c r="Q19" s="7">
        <f>P19/O19</f>
        <v>0.56164383561643838</v>
      </c>
      <c r="R19" s="7">
        <f>'KAT Data'!J19</f>
        <v>0.65789473684210531</v>
      </c>
      <c r="S19" s="8">
        <f>'KAT Data'!M19</f>
        <v>0.45714285714285713</v>
      </c>
    </row>
    <row r="21" spans="1:19" x14ac:dyDescent="0.25">
      <c r="J21" s="9"/>
    </row>
  </sheetData>
  <mergeCells count="9">
    <mergeCell ref="K17:S17"/>
    <mergeCell ref="A13:I13"/>
    <mergeCell ref="A1:I1"/>
    <mergeCell ref="K1:S1"/>
    <mergeCell ref="A5:I5"/>
    <mergeCell ref="K9:S9"/>
    <mergeCell ref="A9:I9"/>
    <mergeCell ref="K5:S5"/>
    <mergeCell ref="K13:S13"/>
  </mergeCells>
  <conditionalFormatting sqref="B18:B19">
    <cfRule type="cellIs" dxfId="35" priority="25" operator="between">
      <formula>0.5</formula>
      <formula>1</formula>
    </cfRule>
    <cfRule type="cellIs" dxfId="34" priority="26" operator="between">
      <formula>0</formula>
      <formula>0.5</formula>
    </cfRule>
  </conditionalFormatting>
  <conditionalFormatting sqref="K11 K7 A3 A7 A11 A15 K3 K15 K19">
    <cfRule type="top10" dxfId="33" priority="33" rank="1"/>
  </conditionalFormatting>
  <conditionalFormatting sqref="L11 L7 B3 B7 B11 B15 L3 L15 L19">
    <cfRule type="top10" dxfId="32" priority="34" rank="1"/>
  </conditionalFormatting>
  <conditionalFormatting sqref="N11 N7 D3 D7 D11 D15 N3 N15 N19">
    <cfRule type="top10" dxfId="31" priority="24" rank="1"/>
  </conditionalFormatting>
  <conditionalFormatting sqref="N11 N7 D7 D3 D11 D15 N3 N15 N19">
    <cfRule type="top10" dxfId="30" priority="32" bottom="1" rank="1"/>
  </conditionalFormatting>
  <conditionalFormatting sqref="Q11 Q7 G3 G7 G11 G15 Q3 Q15 Q19">
    <cfRule type="top10" dxfId="29" priority="23" rank="1"/>
    <cfRule type="top10" dxfId="28" priority="31" bottom="1" rank="1"/>
  </conditionalFormatting>
  <conditionalFormatting sqref="R11 R7 H3 H7 H11 H15 R3 R15 R19">
    <cfRule type="top10" dxfId="27" priority="22" rank="1"/>
    <cfRule type="top10" dxfId="26" priority="30" bottom="1" rank="1"/>
  </conditionalFormatting>
  <conditionalFormatting sqref="S11 S7 I3 I7 I11 I15 S3 S15 S19">
    <cfRule type="top10" dxfId="25" priority="21" rank="1"/>
    <cfRule type="top10" dxfId="24" priority="29" bottom="1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E766-5569-4D5D-A90C-208019EEFE5A}">
  <dimension ref="A1:M19"/>
  <sheetViews>
    <sheetView workbookViewId="0">
      <selection activeCell="I26" sqref="I26"/>
    </sheetView>
  </sheetViews>
  <sheetFormatPr defaultRowHeight="15" x14ac:dyDescent="0.25"/>
  <cols>
    <col min="1" max="1" width="17.42578125" bestFit="1" customWidth="1"/>
    <col min="2" max="2" width="15.42578125" bestFit="1" customWidth="1"/>
    <col min="4" max="4" width="17.42578125" bestFit="1" customWidth="1"/>
    <col min="5" max="5" width="15.42578125" bestFit="1" customWidth="1"/>
    <col min="8" max="8" width="17.42578125" bestFit="1" customWidth="1"/>
    <col min="9" max="9" width="15.42578125" bestFit="1" customWidth="1"/>
    <col min="11" max="11" width="17.5703125" bestFit="1" customWidth="1"/>
    <col min="12" max="12" width="15.5703125" bestFit="1" customWidth="1"/>
  </cols>
  <sheetData>
    <row r="1" spans="1:13" x14ac:dyDescent="0.25">
      <c r="A1" s="13" t="s">
        <v>0</v>
      </c>
      <c r="B1" s="14"/>
      <c r="C1" s="14"/>
      <c r="D1" s="14"/>
      <c r="E1" s="14"/>
      <c r="F1" s="15"/>
      <c r="H1" s="13" t="s">
        <v>1</v>
      </c>
      <c r="I1" s="14"/>
      <c r="J1" s="14"/>
      <c r="K1" s="14"/>
      <c r="L1" s="14"/>
      <c r="M1" s="15"/>
    </row>
    <row r="2" spans="1:13" x14ac:dyDescent="0.25">
      <c r="A2" s="2" t="s">
        <v>16</v>
      </c>
      <c r="B2" s="1" t="s">
        <v>17</v>
      </c>
      <c r="C2" s="1" t="s">
        <v>9</v>
      </c>
      <c r="D2" s="1" t="s">
        <v>18</v>
      </c>
      <c r="E2" s="1" t="s">
        <v>19</v>
      </c>
      <c r="F2" s="3" t="s">
        <v>10</v>
      </c>
      <c r="H2" s="2" t="s">
        <v>16</v>
      </c>
      <c r="I2" s="1" t="s">
        <v>17</v>
      </c>
      <c r="J2" s="1" t="s">
        <v>9</v>
      </c>
      <c r="K2" s="1" t="s">
        <v>18</v>
      </c>
      <c r="L2" s="1" t="s">
        <v>19</v>
      </c>
      <c r="M2" s="3" t="s">
        <v>10</v>
      </c>
    </row>
    <row r="3" spans="1:13" ht="15.75" thickBot="1" x14ac:dyDescent="0.3">
      <c r="A3" s="4">
        <v>20</v>
      </c>
      <c r="B3" s="5">
        <v>8</v>
      </c>
      <c r="C3" s="7">
        <f>B3/A3</f>
        <v>0.4</v>
      </c>
      <c r="D3" s="5">
        <v>30</v>
      </c>
      <c r="E3" s="5">
        <v>23</v>
      </c>
      <c r="F3" s="8">
        <f>E3/D3</f>
        <v>0.76666666666666672</v>
      </c>
      <c r="H3" s="4"/>
      <c r="I3" s="5"/>
      <c r="J3" s="5"/>
      <c r="K3" s="5"/>
      <c r="L3" s="5"/>
      <c r="M3" s="6"/>
    </row>
    <row r="4" spans="1:13" ht="15.75" thickBot="1" x14ac:dyDescent="0.3"/>
    <row r="5" spans="1:13" x14ac:dyDescent="0.25">
      <c r="A5" s="13" t="s">
        <v>11</v>
      </c>
      <c r="B5" s="14"/>
      <c r="C5" s="14"/>
      <c r="D5" s="14"/>
      <c r="E5" s="14"/>
      <c r="F5" s="15"/>
      <c r="H5" s="13" t="s">
        <v>14</v>
      </c>
      <c r="I5" s="14"/>
      <c r="J5" s="14"/>
      <c r="K5" s="14"/>
      <c r="L5" s="14"/>
      <c r="M5" s="15"/>
    </row>
    <row r="6" spans="1:13" x14ac:dyDescent="0.25">
      <c r="A6" s="2" t="s">
        <v>16</v>
      </c>
      <c r="B6" s="1" t="s">
        <v>17</v>
      </c>
      <c r="C6" s="1" t="s">
        <v>9</v>
      </c>
      <c r="D6" s="1" t="s">
        <v>18</v>
      </c>
      <c r="E6" s="1" t="s">
        <v>19</v>
      </c>
      <c r="F6" s="3" t="s">
        <v>10</v>
      </c>
      <c r="H6" s="2" t="s">
        <v>16</v>
      </c>
      <c r="I6" s="1" t="s">
        <v>17</v>
      </c>
      <c r="J6" s="1" t="s">
        <v>9</v>
      </c>
      <c r="K6" s="1" t="s">
        <v>18</v>
      </c>
      <c r="L6" s="1" t="s">
        <v>19</v>
      </c>
      <c r="M6" s="3" t="s">
        <v>10</v>
      </c>
    </row>
    <row r="7" spans="1:13" ht="15.75" thickBot="1" x14ac:dyDescent="0.3">
      <c r="A7" s="4">
        <v>29</v>
      </c>
      <c r="B7" s="5">
        <v>21</v>
      </c>
      <c r="C7" s="7">
        <f>B7/A7</f>
        <v>0.72413793103448276</v>
      </c>
      <c r="D7" s="5">
        <v>36</v>
      </c>
      <c r="E7" s="5">
        <v>9</v>
      </c>
      <c r="F7" s="8">
        <f>E7/D7</f>
        <v>0.25</v>
      </c>
      <c r="H7" s="4"/>
      <c r="I7" s="5"/>
      <c r="J7" s="5"/>
      <c r="K7" s="5"/>
      <c r="L7" s="5"/>
      <c r="M7" s="6"/>
    </row>
    <row r="8" spans="1:13" ht="15.75" thickBot="1" x14ac:dyDescent="0.3"/>
    <row r="9" spans="1:13" x14ac:dyDescent="0.25">
      <c r="A9" s="13" t="s">
        <v>13</v>
      </c>
      <c r="B9" s="14"/>
      <c r="C9" s="14"/>
      <c r="D9" s="14"/>
      <c r="E9" s="14"/>
      <c r="F9" s="15"/>
      <c r="H9" s="13" t="s">
        <v>12</v>
      </c>
      <c r="I9" s="14"/>
      <c r="J9" s="14"/>
      <c r="K9" s="14"/>
      <c r="L9" s="14"/>
      <c r="M9" s="15"/>
    </row>
    <row r="10" spans="1:13" x14ac:dyDescent="0.25">
      <c r="A10" s="2" t="s">
        <v>16</v>
      </c>
      <c r="B10" s="1" t="s">
        <v>17</v>
      </c>
      <c r="C10" s="1" t="s">
        <v>9</v>
      </c>
      <c r="D10" s="1" t="s">
        <v>18</v>
      </c>
      <c r="E10" s="1" t="s">
        <v>19</v>
      </c>
      <c r="F10" s="3" t="s">
        <v>10</v>
      </c>
      <c r="H10" s="2" t="s">
        <v>16</v>
      </c>
      <c r="I10" s="1" t="s">
        <v>17</v>
      </c>
      <c r="J10" s="1" t="s">
        <v>9</v>
      </c>
      <c r="K10" s="1" t="s">
        <v>18</v>
      </c>
      <c r="L10" s="1" t="s">
        <v>19</v>
      </c>
      <c r="M10" s="3" t="s">
        <v>10</v>
      </c>
    </row>
    <row r="11" spans="1:13" ht="15.75" thickBot="1" x14ac:dyDescent="0.3">
      <c r="A11" s="4">
        <v>9</v>
      </c>
      <c r="B11" s="5">
        <v>6</v>
      </c>
      <c r="C11" s="7">
        <f>B11/A11</f>
        <v>0.66666666666666663</v>
      </c>
      <c r="D11" s="5">
        <v>12</v>
      </c>
      <c r="E11" s="5">
        <v>3</v>
      </c>
      <c r="F11" s="8">
        <f>E11/D11</f>
        <v>0.25</v>
      </c>
      <c r="H11" s="4">
        <v>24</v>
      </c>
      <c r="I11" s="5">
        <v>13</v>
      </c>
      <c r="J11" s="7">
        <f>I11/H11</f>
        <v>0.54166666666666663</v>
      </c>
      <c r="K11" s="5">
        <v>22</v>
      </c>
      <c r="L11" s="5">
        <v>11</v>
      </c>
      <c r="M11" s="8">
        <f>L11/K11</f>
        <v>0.5</v>
      </c>
    </row>
    <row r="12" spans="1:13" ht="15.75" thickBot="1" x14ac:dyDescent="0.3"/>
    <row r="13" spans="1:13" x14ac:dyDescent="0.25">
      <c r="A13" s="13" t="s">
        <v>15</v>
      </c>
      <c r="B13" s="14"/>
      <c r="C13" s="14"/>
      <c r="D13" s="14"/>
      <c r="E13" s="14"/>
      <c r="F13" s="15"/>
      <c r="H13" s="13" t="s">
        <v>20</v>
      </c>
      <c r="I13" s="14"/>
      <c r="J13" s="14"/>
      <c r="K13" s="14"/>
      <c r="L13" s="14"/>
      <c r="M13" s="15"/>
    </row>
    <row r="14" spans="1:13" x14ac:dyDescent="0.25">
      <c r="A14" s="2" t="s">
        <v>16</v>
      </c>
      <c r="B14" s="1" t="s">
        <v>17</v>
      </c>
      <c r="C14" s="1" t="s">
        <v>9</v>
      </c>
      <c r="D14" s="1" t="s">
        <v>18</v>
      </c>
      <c r="E14" s="1" t="s">
        <v>19</v>
      </c>
      <c r="F14" s="3" t="s">
        <v>10</v>
      </c>
      <c r="H14" s="2" t="s">
        <v>16</v>
      </c>
      <c r="I14" s="1" t="s">
        <v>17</v>
      </c>
      <c r="J14" s="1" t="s">
        <v>9</v>
      </c>
      <c r="K14" s="1" t="s">
        <v>18</v>
      </c>
      <c r="L14" s="1" t="s">
        <v>19</v>
      </c>
      <c r="M14" s="3" t="s">
        <v>10</v>
      </c>
    </row>
    <row r="15" spans="1:13" ht="15.75" thickBot="1" x14ac:dyDescent="0.3">
      <c r="A15" s="4">
        <v>25</v>
      </c>
      <c r="B15" s="5">
        <v>11</v>
      </c>
      <c r="C15" s="7">
        <f>B15/A15</f>
        <v>0.44</v>
      </c>
      <c r="D15" s="5">
        <v>33</v>
      </c>
      <c r="E15" s="5">
        <v>8</v>
      </c>
      <c r="F15" s="8">
        <f>E15/D15</f>
        <v>0.24242424242424243</v>
      </c>
      <c r="H15" s="4">
        <v>3</v>
      </c>
      <c r="I15" s="5">
        <v>2</v>
      </c>
      <c r="J15" s="7">
        <f>I15/H15</f>
        <v>0.66666666666666663</v>
      </c>
      <c r="K15" s="5">
        <v>12</v>
      </c>
      <c r="L15" s="5">
        <v>11</v>
      </c>
      <c r="M15" s="8">
        <f>L15/K15</f>
        <v>0.91666666666666663</v>
      </c>
    </row>
    <row r="16" spans="1:13" ht="15.75" thickBot="1" x14ac:dyDescent="0.3"/>
    <row r="17" spans="1:13" x14ac:dyDescent="0.25">
      <c r="H17" s="13" t="s">
        <v>21</v>
      </c>
      <c r="I17" s="14"/>
      <c r="J17" s="14"/>
      <c r="K17" s="14"/>
      <c r="L17" s="14"/>
      <c r="M17" s="15"/>
    </row>
    <row r="18" spans="1:13" x14ac:dyDescent="0.25">
      <c r="A18" t="s">
        <v>9</v>
      </c>
      <c r="B18" s="10">
        <f>(B3+B7+B11+B15+I3+I7+I11+I15+I19)/(A3+A7+A11+A15+H3+H7+H11+H15+H19)</f>
        <v>0.58108108108108103</v>
      </c>
      <c r="H18" s="2" t="s">
        <v>16</v>
      </c>
      <c r="I18" s="1" t="s">
        <v>17</v>
      </c>
      <c r="J18" s="1" t="s">
        <v>9</v>
      </c>
      <c r="K18" s="1" t="s">
        <v>18</v>
      </c>
      <c r="L18" s="1" t="s">
        <v>19</v>
      </c>
      <c r="M18" s="3" t="s">
        <v>10</v>
      </c>
    </row>
    <row r="19" spans="1:13" ht="15.75" thickBot="1" x14ac:dyDescent="0.3">
      <c r="A19" t="s">
        <v>10</v>
      </c>
      <c r="B19" s="10">
        <f>(E3+E7+E11+E15+L11+L7+L3+L15+L19)/(D3+D7+D11+D15+K11+K7+K3+K15+K19)</f>
        <v>0.45</v>
      </c>
      <c r="H19" s="4">
        <v>38</v>
      </c>
      <c r="I19" s="5">
        <v>25</v>
      </c>
      <c r="J19" s="7">
        <f>I19/H19</f>
        <v>0.65789473684210531</v>
      </c>
      <c r="K19" s="5">
        <v>35</v>
      </c>
      <c r="L19" s="5">
        <v>16</v>
      </c>
      <c r="M19" s="8">
        <f>L19/K19</f>
        <v>0.45714285714285713</v>
      </c>
    </row>
  </sheetData>
  <mergeCells count="9">
    <mergeCell ref="H17:M17"/>
    <mergeCell ref="A13:F13"/>
    <mergeCell ref="A1:F1"/>
    <mergeCell ref="H1:M1"/>
    <mergeCell ref="A5:F5"/>
    <mergeCell ref="H5:M5"/>
    <mergeCell ref="A9:F9"/>
    <mergeCell ref="H9:M9"/>
    <mergeCell ref="H13:M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DFF4D-B38C-454C-AE1C-B96EA8E605A3}">
  <dimension ref="A1:S19"/>
  <sheetViews>
    <sheetView workbookViewId="0">
      <selection activeCell="Q11" sqref="Q11"/>
    </sheetView>
  </sheetViews>
  <sheetFormatPr defaultRowHeight="15" x14ac:dyDescent="0.25"/>
  <cols>
    <col min="2" max="2" width="12.5703125" bestFit="1" customWidth="1"/>
    <col min="5" max="5" width="14.140625" bestFit="1" customWidth="1"/>
    <col min="6" max="6" width="12.140625" bestFit="1" customWidth="1"/>
    <col min="11" max="12" width="12.5703125" bestFit="1" customWidth="1"/>
    <col min="14" max="14" width="10.5703125" customWidth="1"/>
    <col min="15" max="15" width="14.140625" bestFit="1" customWidth="1"/>
    <col min="16" max="16" width="12.140625" bestFit="1" customWidth="1"/>
    <col min="20" max="20" width="12.5703125" bestFit="1" customWidth="1"/>
    <col min="23" max="23" width="14.140625" bestFit="1" customWidth="1"/>
    <col min="24" max="24" width="12.140625" bestFit="1" customWidth="1"/>
    <col min="29" max="29" width="12.5703125" bestFit="1" customWidth="1"/>
    <col min="32" max="32" width="14.140625" bestFit="1" customWidth="1"/>
    <col min="33" max="33" width="12.140625" bestFit="1" customWidth="1"/>
    <col min="38" max="38" width="12.5703125" bestFit="1" customWidth="1"/>
    <col min="41" max="41" width="14.140625" bestFit="1" customWidth="1"/>
    <col min="42" max="42" width="12.140625" bestFit="1" customWidth="1"/>
    <col min="47" max="47" width="12.5703125" bestFit="1" customWidth="1"/>
    <col min="50" max="50" width="14.140625" bestFit="1" customWidth="1"/>
    <col min="51" max="51" width="12.140625" bestFit="1" customWidth="1"/>
    <col min="56" max="56" width="12.5703125" bestFit="1" customWidth="1"/>
    <col min="59" max="59" width="14.140625" bestFit="1" customWidth="1"/>
    <col min="60" max="60" width="12.140625" bestFit="1" customWidth="1"/>
  </cols>
  <sheetData>
    <row r="1" spans="1:19" x14ac:dyDescent="0.25">
      <c r="A1" s="13" t="s">
        <v>0</v>
      </c>
      <c r="B1" s="14"/>
      <c r="C1" s="14"/>
      <c r="D1" s="14"/>
      <c r="E1" s="14"/>
      <c r="F1" s="14"/>
      <c r="G1" s="14"/>
      <c r="H1" s="14"/>
      <c r="I1" s="15"/>
      <c r="K1" s="13" t="s">
        <v>1</v>
      </c>
      <c r="L1" s="14"/>
      <c r="M1" s="14"/>
      <c r="N1" s="14"/>
      <c r="O1" s="14"/>
      <c r="P1" s="14"/>
      <c r="Q1" s="14"/>
      <c r="R1" s="14"/>
      <c r="S1" s="15"/>
    </row>
    <row r="2" spans="1:19" x14ac:dyDescent="0.25">
      <c r="A2" s="2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3" t="s">
        <v>10</v>
      </c>
      <c r="K2" s="2" t="s">
        <v>2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3" t="s">
        <v>10</v>
      </c>
    </row>
    <row r="3" spans="1:19" ht="15.75" thickBot="1" x14ac:dyDescent="0.3">
      <c r="A3" s="4"/>
      <c r="B3" s="5">
        <v>2</v>
      </c>
      <c r="C3" s="5">
        <v>1</v>
      </c>
      <c r="D3" s="7">
        <f>C3/B3</f>
        <v>0.5</v>
      </c>
      <c r="E3" s="5">
        <f>'WALL Data'!A3+'WALL Data'!D3</f>
        <v>37</v>
      </c>
      <c r="F3" s="5">
        <f>'WALL Data'!B3+'WALL Data'!E3</f>
        <v>13</v>
      </c>
      <c r="G3" s="7">
        <f>F3/E3</f>
        <v>0.35135135135135137</v>
      </c>
      <c r="H3" s="7">
        <f>'WALL Data'!C3</f>
        <v>0.375</v>
      </c>
      <c r="I3" s="8">
        <f>'WALL Data'!F3</f>
        <v>0.30769230769230771</v>
      </c>
      <c r="K3" s="4"/>
      <c r="L3" s="5"/>
      <c r="M3" s="5"/>
      <c r="N3" s="5"/>
      <c r="O3" s="5"/>
      <c r="P3" s="5"/>
      <c r="Q3" s="5"/>
      <c r="R3" s="7"/>
      <c r="S3" s="8"/>
    </row>
    <row r="4" spans="1:19" ht="15.75" thickBot="1" x14ac:dyDescent="0.3"/>
    <row r="5" spans="1:19" x14ac:dyDescent="0.25">
      <c r="A5" s="13" t="s">
        <v>11</v>
      </c>
      <c r="B5" s="14"/>
      <c r="C5" s="14"/>
      <c r="D5" s="14"/>
      <c r="E5" s="14"/>
      <c r="F5" s="14"/>
      <c r="G5" s="14"/>
      <c r="H5" s="14"/>
      <c r="I5" s="15"/>
      <c r="K5" s="13" t="s">
        <v>14</v>
      </c>
      <c r="L5" s="14"/>
      <c r="M5" s="14"/>
      <c r="N5" s="14"/>
      <c r="O5" s="14"/>
      <c r="P5" s="14"/>
      <c r="Q5" s="14"/>
      <c r="R5" s="14"/>
      <c r="S5" s="15"/>
    </row>
    <row r="6" spans="1:19" x14ac:dyDescent="0.25">
      <c r="A6" s="2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3" t="s">
        <v>10</v>
      </c>
      <c r="K6" s="2" t="s">
        <v>2</v>
      </c>
      <c r="L6" s="1" t="s">
        <v>3</v>
      </c>
      <c r="M6" s="1" t="s">
        <v>4</v>
      </c>
      <c r="N6" s="1" t="s">
        <v>5</v>
      </c>
      <c r="O6" s="1" t="s">
        <v>6</v>
      </c>
      <c r="P6" s="1" t="s">
        <v>7</v>
      </c>
      <c r="Q6" s="1" t="s">
        <v>8</v>
      </c>
      <c r="R6" s="1" t="s">
        <v>9</v>
      </c>
      <c r="S6" s="3" t="s">
        <v>10</v>
      </c>
    </row>
    <row r="7" spans="1:19" ht="15.75" thickBot="1" x14ac:dyDescent="0.3">
      <c r="A7" s="4">
        <v>4</v>
      </c>
      <c r="B7" s="5">
        <v>1</v>
      </c>
      <c r="C7" s="5">
        <v>0</v>
      </c>
      <c r="D7" s="7">
        <f>C7/B7</f>
        <v>0</v>
      </c>
      <c r="E7" s="5">
        <f>'WALL Data'!A7+'WALL Data'!D7</f>
        <v>20</v>
      </c>
      <c r="F7" s="5">
        <f>'WALL Data'!B7+'WALL Data'!E7</f>
        <v>7</v>
      </c>
      <c r="G7" s="7">
        <f>F7/E7</f>
        <v>0.35</v>
      </c>
      <c r="H7" s="7">
        <f>'WALL Data'!C7</f>
        <v>0.625</v>
      </c>
      <c r="I7" s="8">
        <f>'WALL Data'!F7</f>
        <v>0.16666666666666666</v>
      </c>
      <c r="K7" s="4">
        <v>2</v>
      </c>
      <c r="L7" s="5"/>
      <c r="M7" s="5"/>
      <c r="N7" s="5"/>
      <c r="O7" s="5"/>
      <c r="P7" s="5"/>
      <c r="Q7" s="5"/>
      <c r="R7" s="7"/>
      <c r="S7" s="8"/>
    </row>
    <row r="8" spans="1:19" ht="15.75" thickBot="1" x14ac:dyDescent="0.3"/>
    <row r="9" spans="1:19" x14ac:dyDescent="0.25">
      <c r="A9" s="13" t="s">
        <v>13</v>
      </c>
      <c r="B9" s="14"/>
      <c r="C9" s="14"/>
      <c r="D9" s="14"/>
      <c r="E9" s="14"/>
      <c r="F9" s="14"/>
      <c r="G9" s="14"/>
      <c r="H9" s="14"/>
      <c r="I9" s="15"/>
      <c r="K9" s="13" t="s">
        <v>12</v>
      </c>
      <c r="L9" s="14"/>
      <c r="M9" s="14"/>
      <c r="N9" s="14"/>
      <c r="O9" s="14"/>
      <c r="P9" s="14"/>
      <c r="Q9" s="14"/>
      <c r="R9" s="14"/>
      <c r="S9" s="15"/>
    </row>
    <row r="10" spans="1:19" x14ac:dyDescent="0.25">
      <c r="A10" s="2" t="s">
        <v>2</v>
      </c>
      <c r="B10" s="1" t="s">
        <v>3</v>
      </c>
      <c r="C10" s="1" t="s">
        <v>4</v>
      </c>
      <c r="D10" s="1" t="s">
        <v>5</v>
      </c>
      <c r="E10" s="1" t="s">
        <v>6</v>
      </c>
      <c r="F10" s="1" t="s">
        <v>7</v>
      </c>
      <c r="G10" s="1" t="s">
        <v>8</v>
      </c>
      <c r="H10" s="1" t="s">
        <v>9</v>
      </c>
      <c r="I10" s="3" t="s">
        <v>10</v>
      </c>
      <c r="K10" s="2" t="s">
        <v>2</v>
      </c>
      <c r="L10" s="1" t="s">
        <v>3</v>
      </c>
      <c r="M10" s="1" t="s">
        <v>4</v>
      </c>
      <c r="N10" s="1" t="s">
        <v>5</v>
      </c>
      <c r="O10" s="1" t="s">
        <v>6</v>
      </c>
      <c r="P10" s="1" t="s">
        <v>7</v>
      </c>
      <c r="Q10" s="1" t="s">
        <v>8</v>
      </c>
      <c r="R10" s="1" t="s">
        <v>9</v>
      </c>
      <c r="S10" s="3" t="s">
        <v>10</v>
      </c>
    </row>
    <row r="11" spans="1:19" ht="15.75" thickBot="1" x14ac:dyDescent="0.3">
      <c r="A11" s="4">
        <v>3</v>
      </c>
      <c r="B11" s="5">
        <v>1</v>
      </c>
      <c r="C11" s="5">
        <v>1</v>
      </c>
      <c r="D11" s="7">
        <f>C11/B11</f>
        <v>1</v>
      </c>
      <c r="E11" s="5">
        <f>'WALL Data'!A11+'WALL Data'!D11</f>
        <v>21</v>
      </c>
      <c r="F11" s="5">
        <f>'WALL Data'!B11+'WALL Data'!E11</f>
        <v>13</v>
      </c>
      <c r="G11" s="7">
        <f>F11/E11</f>
        <v>0.61904761904761907</v>
      </c>
      <c r="H11" s="7">
        <f>'WALL Data'!C11</f>
        <v>0.75</v>
      </c>
      <c r="I11" s="8">
        <f>'WALL Data'!F11</f>
        <v>0.44444444444444442</v>
      </c>
      <c r="K11" s="4">
        <v>2</v>
      </c>
      <c r="L11" s="5">
        <v>1</v>
      </c>
      <c r="M11" s="5">
        <v>0</v>
      </c>
      <c r="N11" s="7">
        <f>M11/L11</f>
        <v>0</v>
      </c>
      <c r="O11" s="5">
        <f>'WALL Data'!H11+'WALL Data'!K11</f>
        <v>22</v>
      </c>
      <c r="P11" s="5">
        <f>'WALL Data'!I11+'WALL Data'!L11</f>
        <v>9</v>
      </c>
      <c r="Q11" s="7">
        <f>P11/O11</f>
        <v>0.40909090909090912</v>
      </c>
      <c r="R11" s="7">
        <f>'WALL Data'!J11</f>
        <v>0.2</v>
      </c>
      <c r="S11" s="8">
        <f>'WALL Data'!M11</f>
        <v>0.58333333333333337</v>
      </c>
    </row>
    <row r="12" spans="1:19" ht="15.75" thickBot="1" x14ac:dyDescent="0.3"/>
    <row r="13" spans="1:19" x14ac:dyDescent="0.25">
      <c r="A13" s="13" t="s">
        <v>15</v>
      </c>
      <c r="B13" s="14"/>
      <c r="C13" s="14"/>
      <c r="D13" s="14"/>
      <c r="E13" s="14"/>
      <c r="F13" s="14"/>
      <c r="G13" s="14"/>
      <c r="H13" s="14"/>
      <c r="I13" s="15"/>
      <c r="K13" s="13" t="s">
        <v>20</v>
      </c>
      <c r="L13" s="14"/>
      <c r="M13" s="14"/>
      <c r="N13" s="14"/>
      <c r="O13" s="14"/>
      <c r="P13" s="14"/>
      <c r="Q13" s="14"/>
      <c r="R13" s="14"/>
      <c r="S13" s="15"/>
    </row>
    <row r="14" spans="1:19" x14ac:dyDescent="0.25">
      <c r="A14" s="2" t="s">
        <v>2</v>
      </c>
      <c r="B14" s="1" t="s">
        <v>3</v>
      </c>
      <c r="C14" s="1" t="s">
        <v>4</v>
      </c>
      <c r="D14" s="1" t="s">
        <v>5</v>
      </c>
      <c r="E14" s="1" t="s">
        <v>6</v>
      </c>
      <c r="F14" s="1" t="s">
        <v>7</v>
      </c>
      <c r="G14" s="1" t="s">
        <v>8</v>
      </c>
      <c r="H14" s="1" t="s">
        <v>9</v>
      </c>
      <c r="I14" s="3" t="s">
        <v>10</v>
      </c>
      <c r="K14" s="2" t="s">
        <v>2</v>
      </c>
      <c r="L14" s="1" t="s">
        <v>3</v>
      </c>
      <c r="M14" s="1" t="s">
        <v>4</v>
      </c>
      <c r="N14" s="1" t="s">
        <v>5</v>
      </c>
      <c r="O14" s="1" t="s">
        <v>6</v>
      </c>
      <c r="P14" s="1" t="s">
        <v>7</v>
      </c>
      <c r="Q14" s="1" t="s">
        <v>8</v>
      </c>
      <c r="R14" s="1" t="s">
        <v>9</v>
      </c>
      <c r="S14" s="3" t="s">
        <v>10</v>
      </c>
    </row>
    <row r="15" spans="1:19" ht="15.75" thickBot="1" x14ac:dyDescent="0.3">
      <c r="A15" s="4">
        <v>1</v>
      </c>
      <c r="B15" s="5">
        <v>3</v>
      </c>
      <c r="C15" s="5">
        <v>3</v>
      </c>
      <c r="D15" s="7">
        <f>C15/B15</f>
        <v>1</v>
      </c>
      <c r="E15" s="5">
        <f>'WALL Data'!A15+'WALL Data'!D15</f>
        <v>67</v>
      </c>
      <c r="F15" s="5">
        <f>'WALL Data'!B15+'WALL Data'!E15</f>
        <v>42</v>
      </c>
      <c r="G15" s="7">
        <f>F15/E15</f>
        <v>0.62686567164179108</v>
      </c>
      <c r="H15" s="7">
        <f>'WALL Data'!C15</f>
        <v>0.55555555555555558</v>
      </c>
      <c r="I15" s="8">
        <f>'WALL Data'!F15</f>
        <v>0.70967741935483875</v>
      </c>
      <c r="K15" s="4"/>
      <c r="L15" s="5">
        <v>2</v>
      </c>
      <c r="M15" s="5">
        <v>1</v>
      </c>
      <c r="N15" s="7">
        <f>M15/L15</f>
        <v>0.5</v>
      </c>
      <c r="O15" s="5">
        <f>'WALL Data'!H15+'WALL Data'!K15</f>
        <v>44</v>
      </c>
      <c r="P15" s="5">
        <f>'WALL Data'!I15+'WALL Data'!L15</f>
        <v>24</v>
      </c>
      <c r="Q15" s="7">
        <f>P15/O15</f>
        <v>0.54545454545454541</v>
      </c>
      <c r="R15" s="7">
        <f>'WALL Data'!J15</f>
        <v>0.5</v>
      </c>
      <c r="S15" s="8">
        <f>'WALL Data'!M15</f>
        <v>0.58333333333333337</v>
      </c>
    </row>
    <row r="16" spans="1:19" ht="15.75" thickBot="1" x14ac:dyDescent="0.3"/>
    <row r="17" spans="1:19" x14ac:dyDescent="0.25">
      <c r="K17" s="13" t="s">
        <v>21</v>
      </c>
      <c r="L17" s="14"/>
      <c r="M17" s="14"/>
      <c r="N17" s="14"/>
      <c r="O17" s="14"/>
      <c r="P17" s="14"/>
      <c r="Q17" s="14"/>
      <c r="R17" s="14"/>
      <c r="S17" s="15"/>
    </row>
    <row r="18" spans="1:19" x14ac:dyDescent="0.25">
      <c r="A18" t="s">
        <v>9</v>
      </c>
      <c r="B18" s="11">
        <f>'WALL Data'!B18</f>
        <v>0.47727272727272729</v>
      </c>
      <c r="K18" s="2" t="s">
        <v>2</v>
      </c>
      <c r="L18" s="1" t="s">
        <v>3</v>
      </c>
      <c r="M18" s="1" t="s">
        <v>4</v>
      </c>
      <c r="N18" s="1" t="s">
        <v>5</v>
      </c>
      <c r="O18" s="1" t="s">
        <v>6</v>
      </c>
      <c r="P18" s="1" t="s">
        <v>7</v>
      </c>
      <c r="Q18" s="1" t="s">
        <v>8</v>
      </c>
      <c r="R18" s="1" t="s">
        <v>9</v>
      </c>
      <c r="S18" s="3" t="s">
        <v>10</v>
      </c>
    </row>
    <row r="19" spans="1:19" ht="15.75" thickBot="1" x14ac:dyDescent="0.3">
      <c r="A19" t="s">
        <v>10</v>
      </c>
      <c r="B19" s="11">
        <f>'WALL Data'!B19</f>
        <v>0.50819672131147542</v>
      </c>
      <c r="K19" s="4">
        <v>1</v>
      </c>
      <c r="L19" s="5">
        <v>2</v>
      </c>
      <c r="M19" s="5">
        <v>0</v>
      </c>
      <c r="N19" s="7">
        <f>M19/L19</f>
        <v>0</v>
      </c>
      <c r="O19" s="5">
        <f>'WALL Data'!H19+'WALL Data'!K19</f>
        <v>43</v>
      </c>
      <c r="P19" s="5">
        <f>'WALL Data'!I19+'WALL Data'!L19</f>
        <v>17</v>
      </c>
      <c r="Q19" s="7">
        <f>P19/O19</f>
        <v>0.39534883720930231</v>
      </c>
      <c r="R19" s="7">
        <f>'WALL Data'!J19</f>
        <v>0.36363636363636365</v>
      </c>
      <c r="S19" s="8">
        <f>'WALL Data'!M19</f>
        <v>0.42857142857142855</v>
      </c>
    </row>
  </sheetData>
  <mergeCells count="9">
    <mergeCell ref="K17:S17"/>
    <mergeCell ref="A13:I13"/>
    <mergeCell ref="A1:I1"/>
    <mergeCell ref="K1:S1"/>
    <mergeCell ref="A5:I5"/>
    <mergeCell ref="K9:S9"/>
    <mergeCell ref="A9:I9"/>
    <mergeCell ref="K5:S5"/>
    <mergeCell ref="K13:S13"/>
  </mergeCells>
  <conditionalFormatting sqref="B18:B19">
    <cfRule type="cellIs" dxfId="23" priority="25" operator="between">
      <formula>0.5</formula>
      <formula>1</formula>
    </cfRule>
    <cfRule type="cellIs" dxfId="22" priority="26" operator="between">
      <formula>0</formula>
      <formula>0.5</formula>
    </cfRule>
  </conditionalFormatting>
  <conditionalFormatting sqref="K11 K7 A3 A7 A11 A15 K3 K15 K19">
    <cfRule type="top10" dxfId="21" priority="33" rank="1"/>
  </conditionalFormatting>
  <conditionalFormatting sqref="L11 L7 B3 B7 B11 B15 L3 L15 L19">
    <cfRule type="top10" dxfId="20" priority="34" rank="1"/>
  </conditionalFormatting>
  <conditionalFormatting sqref="N11 N7 D3 D7 D11 D15 N3 N15 N19">
    <cfRule type="top10" dxfId="19" priority="24" rank="1"/>
    <cfRule type="top10" dxfId="18" priority="32" bottom="1" rank="1"/>
  </conditionalFormatting>
  <conditionalFormatting sqref="Q11 Q7 G3 G7 G11 G15 Q3 Q15 Q19">
    <cfRule type="top10" dxfId="17" priority="31" bottom="1" rank="1"/>
  </conditionalFormatting>
  <conditionalFormatting sqref="Q11 Q7 G3 G7 G11 G15 Q3 Q19 Q15">
    <cfRule type="top10" dxfId="16" priority="23" rank="1"/>
  </conditionalFormatting>
  <conditionalFormatting sqref="R11 R7 H3 H7 H11 H15 R3 R15 R19">
    <cfRule type="top10" dxfId="15" priority="22" rank="1"/>
    <cfRule type="top10" dxfId="14" priority="30" bottom="1" rank="1"/>
  </conditionalFormatting>
  <conditionalFormatting sqref="S11 S7 I3 I7 I11 I15 S3 S15 S19">
    <cfRule type="top10" dxfId="13" priority="21" rank="1"/>
    <cfRule type="top10" dxfId="12" priority="29" bottom="1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808E-E735-44C1-AA9D-5121701FA937}">
  <dimension ref="A1:M19"/>
  <sheetViews>
    <sheetView workbookViewId="0">
      <selection activeCell="H11" sqref="H11"/>
    </sheetView>
  </sheetViews>
  <sheetFormatPr defaultRowHeight="15" x14ac:dyDescent="0.25"/>
  <cols>
    <col min="1" max="1" width="17.42578125" bestFit="1" customWidth="1"/>
    <col min="2" max="2" width="15.42578125" bestFit="1" customWidth="1"/>
    <col min="4" max="4" width="17.42578125" bestFit="1" customWidth="1"/>
    <col min="5" max="5" width="15.42578125" bestFit="1" customWidth="1"/>
    <col min="8" max="8" width="17.42578125" bestFit="1" customWidth="1"/>
    <col min="9" max="9" width="15.42578125" bestFit="1" customWidth="1"/>
    <col min="11" max="11" width="17.5703125" bestFit="1" customWidth="1"/>
    <col min="12" max="12" width="15.5703125" bestFit="1" customWidth="1"/>
  </cols>
  <sheetData>
    <row r="1" spans="1:13" x14ac:dyDescent="0.25">
      <c r="A1" s="13" t="s">
        <v>0</v>
      </c>
      <c r="B1" s="14"/>
      <c r="C1" s="14"/>
      <c r="D1" s="14"/>
      <c r="E1" s="14"/>
      <c r="F1" s="15"/>
      <c r="H1" s="13" t="s">
        <v>1</v>
      </c>
      <c r="I1" s="14"/>
      <c r="J1" s="14"/>
      <c r="K1" s="14"/>
      <c r="L1" s="14"/>
      <c r="M1" s="15"/>
    </row>
    <row r="2" spans="1:13" x14ac:dyDescent="0.25">
      <c r="A2" s="2" t="s">
        <v>16</v>
      </c>
      <c r="B2" s="1" t="s">
        <v>17</v>
      </c>
      <c r="C2" s="1" t="s">
        <v>9</v>
      </c>
      <c r="D2" s="1" t="s">
        <v>18</v>
      </c>
      <c r="E2" s="1" t="s">
        <v>19</v>
      </c>
      <c r="F2" s="3" t="s">
        <v>10</v>
      </c>
      <c r="H2" s="2" t="s">
        <v>16</v>
      </c>
      <c r="I2" s="1" t="s">
        <v>17</v>
      </c>
      <c r="J2" s="1" t="s">
        <v>9</v>
      </c>
      <c r="K2" s="1" t="s">
        <v>18</v>
      </c>
      <c r="L2" s="1" t="s">
        <v>19</v>
      </c>
      <c r="M2" s="3" t="s">
        <v>10</v>
      </c>
    </row>
    <row r="3" spans="1:13" ht="15.75" thickBot="1" x14ac:dyDescent="0.3">
      <c r="A3" s="4">
        <v>24</v>
      </c>
      <c r="B3" s="5">
        <v>9</v>
      </c>
      <c r="C3" s="7">
        <f>B3/A3</f>
        <v>0.375</v>
      </c>
      <c r="D3" s="5">
        <v>13</v>
      </c>
      <c r="E3" s="5">
        <v>4</v>
      </c>
      <c r="F3" s="8">
        <f>E3/D3</f>
        <v>0.30769230769230771</v>
      </c>
      <c r="H3" s="4"/>
      <c r="I3" s="5"/>
      <c r="J3" s="5"/>
      <c r="K3" s="5"/>
      <c r="L3" s="5"/>
      <c r="M3" s="6"/>
    </row>
    <row r="4" spans="1:13" ht="15.75" thickBot="1" x14ac:dyDescent="0.3"/>
    <row r="5" spans="1:13" x14ac:dyDescent="0.25">
      <c r="A5" s="13" t="s">
        <v>11</v>
      </c>
      <c r="B5" s="14"/>
      <c r="C5" s="14"/>
      <c r="D5" s="14"/>
      <c r="E5" s="14"/>
      <c r="F5" s="15"/>
      <c r="H5" s="13" t="s">
        <v>14</v>
      </c>
      <c r="I5" s="14"/>
      <c r="J5" s="14"/>
      <c r="K5" s="14"/>
      <c r="L5" s="14"/>
      <c r="M5" s="15"/>
    </row>
    <row r="6" spans="1:13" x14ac:dyDescent="0.25">
      <c r="A6" s="2" t="s">
        <v>16</v>
      </c>
      <c r="B6" s="1" t="s">
        <v>17</v>
      </c>
      <c r="C6" s="1" t="s">
        <v>9</v>
      </c>
      <c r="D6" s="1" t="s">
        <v>18</v>
      </c>
      <c r="E6" s="1" t="s">
        <v>19</v>
      </c>
      <c r="F6" s="3" t="s">
        <v>10</v>
      </c>
      <c r="H6" s="2" t="s">
        <v>16</v>
      </c>
      <c r="I6" s="1" t="s">
        <v>17</v>
      </c>
      <c r="J6" s="1" t="s">
        <v>9</v>
      </c>
      <c r="K6" s="1" t="s">
        <v>18</v>
      </c>
      <c r="L6" s="1" t="s">
        <v>19</v>
      </c>
      <c r="M6" s="3" t="s">
        <v>10</v>
      </c>
    </row>
    <row r="7" spans="1:13" ht="15.75" thickBot="1" x14ac:dyDescent="0.3">
      <c r="A7" s="4">
        <v>8</v>
      </c>
      <c r="B7" s="5">
        <v>5</v>
      </c>
      <c r="C7" s="7">
        <f>B7/A7</f>
        <v>0.625</v>
      </c>
      <c r="D7" s="5">
        <v>12</v>
      </c>
      <c r="E7" s="5">
        <v>2</v>
      </c>
      <c r="F7" s="8">
        <f>E7/D7</f>
        <v>0.16666666666666666</v>
      </c>
      <c r="H7" s="4"/>
      <c r="I7" s="5"/>
      <c r="J7" s="5"/>
      <c r="K7" s="5"/>
      <c r="L7" s="5"/>
      <c r="M7" s="6"/>
    </row>
    <row r="8" spans="1:13" ht="15.75" thickBot="1" x14ac:dyDescent="0.3"/>
    <row r="9" spans="1:13" x14ac:dyDescent="0.25">
      <c r="A9" s="13" t="s">
        <v>13</v>
      </c>
      <c r="B9" s="14"/>
      <c r="C9" s="14"/>
      <c r="D9" s="14"/>
      <c r="E9" s="14"/>
      <c r="F9" s="15"/>
      <c r="H9" s="13" t="s">
        <v>12</v>
      </c>
      <c r="I9" s="14"/>
      <c r="J9" s="14"/>
      <c r="K9" s="14"/>
      <c r="L9" s="14"/>
      <c r="M9" s="15"/>
    </row>
    <row r="10" spans="1:13" x14ac:dyDescent="0.25">
      <c r="A10" s="2" t="s">
        <v>16</v>
      </c>
      <c r="B10" s="1" t="s">
        <v>17</v>
      </c>
      <c r="C10" s="1" t="s">
        <v>9</v>
      </c>
      <c r="D10" s="1" t="s">
        <v>18</v>
      </c>
      <c r="E10" s="1" t="s">
        <v>19</v>
      </c>
      <c r="F10" s="3" t="s">
        <v>10</v>
      </c>
      <c r="H10" s="2" t="s">
        <v>16</v>
      </c>
      <c r="I10" s="1" t="s">
        <v>17</v>
      </c>
      <c r="J10" s="1" t="s">
        <v>9</v>
      </c>
      <c r="K10" s="1" t="s">
        <v>18</v>
      </c>
      <c r="L10" s="1" t="s">
        <v>19</v>
      </c>
      <c r="M10" s="3" t="s">
        <v>10</v>
      </c>
    </row>
    <row r="11" spans="1:13" ht="15.75" thickBot="1" x14ac:dyDescent="0.3">
      <c r="A11" s="4">
        <v>12</v>
      </c>
      <c r="B11" s="5">
        <v>9</v>
      </c>
      <c r="C11" s="7">
        <f>B11/A11</f>
        <v>0.75</v>
      </c>
      <c r="D11" s="5">
        <v>9</v>
      </c>
      <c r="E11" s="5">
        <v>4</v>
      </c>
      <c r="F11" s="8">
        <f>E11/D11</f>
        <v>0.44444444444444442</v>
      </c>
      <c r="H11" s="4">
        <v>10</v>
      </c>
      <c r="I11" s="5">
        <v>2</v>
      </c>
      <c r="J11" s="7">
        <f>I11/H11</f>
        <v>0.2</v>
      </c>
      <c r="K11" s="5">
        <v>12</v>
      </c>
      <c r="L11" s="5">
        <v>7</v>
      </c>
      <c r="M11" s="8">
        <f>L11/K11</f>
        <v>0.58333333333333337</v>
      </c>
    </row>
    <row r="12" spans="1:13" ht="15.75" thickBot="1" x14ac:dyDescent="0.3">
      <c r="J12" s="9"/>
    </row>
    <row r="13" spans="1:13" x14ac:dyDescent="0.25">
      <c r="A13" s="13" t="s">
        <v>15</v>
      </c>
      <c r="B13" s="14"/>
      <c r="C13" s="14"/>
      <c r="D13" s="14"/>
      <c r="E13" s="14"/>
      <c r="F13" s="15"/>
      <c r="H13" s="13" t="s">
        <v>20</v>
      </c>
      <c r="I13" s="14"/>
      <c r="J13" s="14"/>
      <c r="K13" s="14"/>
      <c r="L13" s="14"/>
      <c r="M13" s="15"/>
    </row>
    <row r="14" spans="1:13" x14ac:dyDescent="0.25">
      <c r="A14" s="2" t="s">
        <v>16</v>
      </c>
      <c r="B14" s="1" t="s">
        <v>17</v>
      </c>
      <c r="C14" s="1" t="s">
        <v>9</v>
      </c>
      <c r="D14" s="1" t="s">
        <v>18</v>
      </c>
      <c r="E14" s="1" t="s">
        <v>19</v>
      </c>
      <c r="F14" s="3" t="s">
        <v>10</v>
      </c>
      <c r="H14" s="2" t="s">
        <v>16</v>
      </c>
      <c r="I14" s="1" t="s">
        <v>17</v>
      </c>
      <c r="J14" s="1" t="s">
        <v>9</v>
      </c>
      <c r="K14" s="1" t="s">
        <v>18</v>
      </c>
      <c r="L14" s="1" t="s">
        <v>19</v>
      </c>
      <c r="M14" s="3" t="s">
        <v>10</v>
      </c>
    </row>
    <row r="15" spans="1:13" ht="15.75" thickBot="1" x14ac:dyDescent="0.3">
      <c r="A15" s="4">
        <v>36</v>
      </c>
      <c r="B15" s="5">
        <v>20</v>
      </c>
      <c r="C15" s="7">
        <f>B15/A15</f>
        <v>0.55555555555555558</v>
      </c>
      <c r="D15" s="5">
        <v>31</v>
      </c>
      <c r="E15" s="5">
        <v>22</v>
      </c>
      <c r="F15" s="8">
        <f>E15/D15</f>
        <v>0.70967741935483875</v>
      </c>
      <c r="H15" s="4">
        <v>20</v>
      </c>
      <c r="I15" s="5">
        <v>10</v>
      </c>
      <c r="J15" s="7">
        <f>I15/H15</f>
        <v>0.5</v>
      </c>
      <c r="K15" s="5">
        <v>24</v>
      </c>
      <c r="L15" s="5">
        <v>14</v>
      </c>
      <c r="M15" s="8">
        <f>L15/K15</f>
        <v>0.58333333333333337</v>
      </c>
    </row>
    <row r="16" spans="1:13" ht="15.75" thickBot="1" x14ac:dyDescent="0.3"/>
    <row r="17" spans="1:13" x14ac:dyDescent="0.25">
      <c r="H17" s="13" t="s">
        <v>21</v>
      </c>
      <c r="I17" s="14"/>
      <c r="J17" s="14"/>
      <c r="K17" s="14"/>
      <c r="L17" s="14"/>
      <c r="M17" s="15"/>
    </row>
    <row r="18" spans="1:13" x14ac:dyDescent="0.25">
      <c r="A18" t="s">
        <v>9</v>
      </c>
      <c r="B18" s="10">
        <f>(B3+B7+B11+B15+I3+I7+I11+I15+I19)/(A3+A7+A11+A15+H3+H7+H11+H15+H19)</f>
        <v>0.47727272727272729</v>
      </c>
      <c r="H18" s="2" t="s">
        <v>16</v>
      </c>
      <c r="I18" s="1" t="s">
        <v>17</v>
      </c>
      <c r="J18" s="1" t="s">
        <v>9</v>
      </c>
      <c r="K18" s="1" t="s">
        <v>18</v>
      </c>
      <c r="L18" s="1" t="s">
        <v>19</v>
      </c>
      <c r="M18" s="3" t="s">
        <v>10</v>
      </c>
    </row>
    <row r="19" spans="1:13" ht="15.75" thickBot="1" x14ac:dyDescent="0.3">
      <c r="A19" t="s">
        <v>10</v>
      </c>
      <c r="B19" s="10">
        <f>(E3+E7+E11+E15+L11+L7+L3+L15+L19)/(D3+D7+D11+D15+K11+K7+K3+K15+K19)</f>
        <v>0.50819672131147542</v>
      </c>
      <c r="H19" s="4">
        <v>22</v>
      </c>
      <c r="I19" s="5">
        <v>8</v>
      </c>
      <c r="J19" s="7">
        <f>I19/H19</f>
        <v>0.36363636363636365</v>
      </c>
      <c r="K19" s="5">
        <v>21</v>
      </c>
      <c r="L19" s="5">
        <v>9</v>
      </c>
      <c r="M19" s="8">
        <f>L19/K19</f>
        <v>0.42857142857142855</v>
      </c>
    </row>
  </sheetData>
  <mergeCells count="9">
    <mergeCell ref="H17:M17"/>
    <mergeCell ref="A13:F13"/>
    <mergeCell ref="A1:F1"/>
    <mergeCell ref="H1:M1"/>
    <mergeCell ref="A5:F5"/>
    <mergeCell ref="H5:M5"/>
    <mergeCell ref="A9:F9"/>
    <mergeCell ref="H9:M9"/>
    <mergeCell ref="H13:M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EE12-0942-49C9-BCDD-877738119390}">
  <dimension ref="A1:S19"/>
  <sheetViews>
    <sheetView tabSelected="1" workbookViewId="0">
      <selection activeCell="K30" sqref="K30"/>
    </sheetView>
  </sheetViews>
  <sheetFormatPr defaultRowHeight="15" x14ac:dyDescent="0.25"/>
  <cols>
    <col min="2" max="2" width="12.5703125" bestFit="1" customWidth="1"/>
    <col min="5" max="5" width="14.140625" bestFit="1" customWidth="1"/>
    <col min="6" max="6" width="12.140625" bestFit="1" customWidth="1"/>
    <col min="11" max="12" width="12.5703125" bestFit="1" customWidth="1"/>
    <col min="14" max="14" width="10.5703125" customWidth="1"/>
    <col min="15" max="15" width="14.140625" bestFit="1" customWidth="1"/>
    <col min="16" max="16" width="12.140625" bestFit="1" customWidth="1"/>
    <col min="20" max="20" width="12.5703125" bestFit="1" customWidth="1"/>
    <col min="23" max="23" width="14.140625" bestFit="1" customWidth="1"/>
    <col min="24" max="24" width="12.140625" bestFit="1" customWidth="1"/>
    <col min="29" max="29" width="12.5703125" bestFit="1" customWidth="1"/>
    <col min="32" max="32" width="14.140625" bestFit="1" customWidth="1"/>
    <col min="33" max="33" width="12.140625" bestFit="1" customWidth="1"/>
    <col min="38" max="38" width="12.5703125" bestFit="1" customWidth="1"/>
    <col min="41" max="41" width="14.140625" bestFit="1" customWidth="1"/>
    <col min="42" max="42" width="12.140625" bestFit="1" customWidth="1"/>
    <col min="47" max="47" width="12.5703125" bestFit="1" customWidth="1"/>
    <col min="50" max="50" width="14.140625" bestFit="1" customWidth="1"/>
    <col min="51" max="51" width="12.140625" bestFit="1" customWidth="1"/>
    <col min="56" max="56" width="12.5703125" bestFit="1" customWidth="1"/>
    <col min="59" max="59" width="14.140625" bestFit="1" customWidth="1"/>
    <col min="60" max="60" width="12.140625" bestFit="1" customWidth="1"/>
  </cols>
  <sheetData>
    <row r="1" spans="1:19" x14ac:dyDescent="0.25">
      <c r="A1" s="13" t="s">
        <v>0</v>
      </c>
      <c r="B1" s="14"/>
      <c r="C1" s="14"/>
      <c r="D1" s="14"/>
      <c r="E1" s="14"/>
      <c r="F1" s="14"/>
      <c r="G1" s="14"/>
      <c r="H1" s="14"/>
      <c r="I1" s="15"/>
      <c r="K1" s="13" t="s">
        <v>1</v>
      </c>
      <c r="L1" s="14"/>
      <c r="M1" s="14"/>
      <c r="N1" s="14"/>
      <c r="O1" s="14"/>
      <c r="P1" s="14"/>
      <c r="Q1" s="14"/>
      <c r="R1" s="14"/>
      <c r="S1" s="15"/>
    </row>
    <row r="2" spans="1:19" x14ac:dyDescent="0.25">
      <c r="A2" s="2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3" t="s">
        <v>10</v>
      </c>
      <c r="K2" s="2" t="s">
        <v>2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3" t="s">
        <v>10</v>
      </c>
    </row>
    <row r="3" spans="1:19" ht="15.75" thickBot="1" x14ac:dyDescent="0.3">
      <c r="A3" s="4">
        <v>1</v>
      </c>
      <c r="B3" s="5">
        <v>2</v>
      </c>
      <c r="C3" s="5">
        <v>1</v>
      </c>
      <c r="D3" s="7">
        <f>C3/B3</f>
        <v>0.5</v>
      </c>
      <c r="E3" s="5">
        <f>'YGSYD Data'!A3+'YGSYD Data'!D3</f>
        <v>36</v>
      </c>
      <c r="F3" s="5">
        <f>'YGSYD Data'!B3+'YGSYD Data'!E3</f>
        <v>18</v>
      </c>
      <c r="G3" s="7">
        <f>F3/E3</f>
        <v>0.5</v>
      </c>
      <c r="H3" s="7">
        <f>'YGSYD Data'!C3</f>
        <v>0.66666666666666663</v>
      </c>
      <c r="I3" s="8">
        <f>'YGSYD Data'!F3</f>
        <v>0.41666666666666669</v>
      </c>
      <c r="K3" s="4">
        <v>3</v>
      </c>
      <c r="L3" s="5"/>
      <c r="M3" s="5"/>
      <c r="N3" s="5"/>
      <c r="O3" s="5"/>
      <c r="P3" s="5"/>
      <c r="Q3" s="5"/>
      <c r="R3" s="7"/>
      <c r="S3" s="8"/>
    </row>
    <row r="4" spans="1:19" ht="15.75" thickBot="1" x14ac:dyDescent="0.3"/>
    <row r="5" spans="1:19" x14ac:dyDescent="0.25">
      <c r="A5" s="13" t="s">
        <v>11</v>
      </c>
      <c r="B5" s="14"/>
      <c r="C5" s="14"/>
      <c r="D5" s="14"/>
      <c r="E5" s="14"/>
      <c r="F5" s="14"/>
      <c r="G5" s="14"/>
      <c r="H5" s="14"/>
      <c r="I5" s="15"/>
      <c r="K5" s="13" t="s">
        <v>14</v>
      </c>
      <c r="L5" s="14"/>
      <c r="M5" s="14"/>
      <c r="N5" s="14"/>
      <c r="O5" s="14"/>
      <c r="P5" s="14"/>
      <c r="Q5" s="14"/>
      <c r="R5" s="14"/>
      <c r="S5" s="15"/>
    </row>
    <row r="6" spans="1:19" x14ac:dyDescent="0.25">
      <c r="A6" s="2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3" t="s">
        <v>10</v>
      </c>
      <c r="K6" s="2" t="s">
        <v>2</v>
      </c>
      <c r="L6" s="1" t="s">
        <v>3</v>
      </c>
      <c r="M6" s="1" t="s">
        <v>4</v>
      </c>
      <c r="N6" s="1" t="s">
        <v>5</v>
      </c>
      <c r="O6" s="1" t="s">
        <v>6</v>
      </c>
      <c r="P6" s="1" t="s">
        <v>7</v>
      </c>
      <c r="Q6" s="1" t="s">
        <v>8</v>
      </c>
      <c r="R6" s="1" t="s">
        <v>9</v>
      </c>
      <c r="S6" s="3" t="s">
        <v>10</v>
      </c>
    </row>
    <row r="7" spans="1:19" ht="15.75" thickBot="1" x14ac:dyDescent="0.3">
      <c r="A7" s="4"/>
      <c r="B7" s="5">
        <v>4</v>
      </c>
      <c r="C7" s="5">
        <v>3</v>
      </c>
      <c r="D7" s="7">
        <f>C7/B7</f>
        <v>0.75</v>
      </c>
      <c r="E7" s="5">
        <f>'YGSYD Data'!A7+'YGSYD Data'!D7</f>
        <v>87</v>
      </c>
      <c r="F7" s="5">
        <f>'YGSYD Data'!B7+'YGSYD Data'!E7</f>
        <v>50</v>
      </c>
      <c r="G7" s="7">
        <f>F7/E7</f>
        <v>0.57471264367816088</v>
      </c>
      <c r="H7" s="7">
        <f>'YGSYD Data'!C7</f>
        <v>0.70833333333333337</v>
      </c>
      <c r="I7" s="8">
        <f>'YGSYD Data'!F7</f>
        <v>0.41025641025641024</v>
      </c>
      <c r="K7" s="4">
        <v>2</v>
      </c>
      <c r="L7" s="5"/>
      <c r="M7" s="5"/>
      <c r="N7" s="5"/>
      <c r="O7" s="5"/>
      <c r="P7" s="5"/>
      <c r="Q7" s="5"/>
      <c r="R7" s="7"/>
      <c r="S7" s="8"/>
    </row>
    <row r="8" spans="1:19" ht="15.75" thickBot="1" x14ac:dyDescent="0.3"/>
    <row r="9" spans="1:19" x14ac:dyDescent="0.25">
      <c r="A9" s="13" t="s">
        <v>13</v>
      </c>
      <c r="B9" s="14"/>
      <c r="C9" s="14"/>
      <c r="D9" s="14"/>
      <c r="E9" s="14"/>
      <c r="F9" s="14"/>
      <c r="G9" s="14"/>
      <c r="H9" s="14"/>
      <c r="I9" s="15"/>
      <c r="K9" s="13" t="s">
        <v>12</v>
      </c>
      <c r="L9" s="14"/>
      <c r="M9" s="14"/>
      <c r="N9" s="14"/>
      <c r="O9" s="14"/>
      <c r="P9" s="14"/>
      <c r="Q9" s="14"/>
      <c r="R9" s="14"/>
      <c r="S9" s="15"/>
    </row>
    <row r="10" spans="1:19" x14ac:dyDescent="0.25">
      <c r="A10" s="2" t="s">
        <v>2</v>
      </c>
      <c r="B10" s="1" t="s">
        <v>3</v>
      </c>
      <c r="C10" s="1" t="s">
        <v>4</v>
      </c>
      <c r="D10" s="1" t="s">
        <v>5</v>
      </c>
      <c r="E10" s="1" t="s">
        <v>6</v>
      </c>
      <c r="F10" s="1" t="s">
        <v>7</v>
      </c>
      <c r="G10" s="1" t="s">
        <v>8</v>
      </c>
      <c r="H10" s="1" t="s">
        <v>9</v>
      </c>
      <c r="I10" s="3" t="s">
        <v>10</v>
      </c>
      <c r="K10" s="2" t="s">
        <v>2</v>
      </c>
      <c r="L10" s="1" t="s">
        <v>3</v>
      </c>
      <c r="M10" s="1" t="s">
        <v>4</v>
      </c>
      <c r="N10" s="1" t="s">
        <v>5</v>
      </c>
      <c r="O10" s="1" t="s">
        <v>6</v>
      </c>
      <c r="P10" s="1" t="s">
        <v>7</v>
      </c>
      <c r="Q10" s="1" t="s">
        <v>8</v>
      </c>
      <c r="R10" s="1" t="s">
        <v>9</v>
      </c>
      <c r="S10" s="3" t="s">
        <v>10</v>
      </c>
    </row>
    <row r="11" spans="1:19" ht="15.75" thickBot="1" x14ac:dyDescent="0.3">
      <c r="A11" s="4">
        <v>4</v>
      </c>
      <c r="B11" s="5"/>
      <c r="C11" s="5"/>
      <c r="D11" s="5"/>
      <c r="E11" s="5"/>
      <c r="F11" s="5"/>
      <c r="G11" s="5"/>
      <c r="H11" s="7"/>
      <c r="I11" s="8"/>
      <c r="K11" s="4"/>
      <c r="L11" s="5">
        <v>1</v>
      </c>
      <c r="M11" s="5">
        <v>1</v>
      </c>
      <c r="N11" s="7">
        <f>M11/L11</f>
        <v>1</v>
      </c>
      <c r="O11" s="5">
        <f>'YGSYD Data'!H11+'YGSYD Data'!K11</f>
        <v>24</v>
      </c>
      <c r="P11" s="5">
        <f>'YGSYD Data'!I11+'YGSYD Data'!L11</f>
        <v>13</v>
      </c>
      <c r="Q11" s="7">
        <f>P11/O11</f>
        <v>0.54166666666666663</v>
      </c>
      <c r="R11" s="7">
        <f>'YGSYD Data'!J11</f>
        <v>0.75</v>
      </c>
      <c r="S11" s="8">
        <f>'YGSYD Data'!M15</f>
        <v>0.46666666666666667</v>
      </c>
    </row>
    <row r="12" spans="1:19" ht="15.75" thickBot="1" x14ac:dyDescent="0.3"/>
    <row r="13" spans="1:19" x14ac:dyDescent="0.25">
      <c r="A13" s="13" t="s">
        <v>15</v>
      </c>
      <c r="B13" s="14"/>
      <c r="C13" s="14"/>
      <c r="D13" s="14"/>
      <c r="E13" s="14"/>
      <c r="F13" s="14"/>
      <c r="G13" s="14"/>
      <c r="H13" s="14"/>
      <c r="I13" s="15"/>
      <c r="K13" s="13" t="s">
        <v>20</v>
      </c>
      <c r="L13" s="14"/>
      <c r="M13" s="14"/>
      <c r="N13" s="14"/>
      <c r="O13" s="14"/>
      <c r="P13" s="14"/>
      <c r="Q13" s="14"/>
      <c r="R13" s="14"/>
      <c r="S13" s="15"/>
    </row>
    <row r="14" spans="1:19" x14ac:dyDescent="0.25">
      <c r="A14" s="2" t="s">
        <v>2</v>
      </c>
      <c r="B14" s="1" t="s">
        <v>3</v>
      </c>
      <c r="C14" s="1" t="s">
        <v>4</v>
      </c>
      <c r="D14" s="1" t="s">
        <v>5</v>
      </c>
      <c r="E14" s="1" t="s">
        <v>6</v>
      </c>
      <c r="F14" s="1" t="s">
        <v>7</v>
      </c>
      <c r="G14" s="1" t="s">
        <v>8</v>
      </c>
      <c r="H14" s="1" t="s">
        <v>9</v>
      </c>
      <c r="I14" s="3" t="s">
        <v>10</v>
      </c>
      <c r="K14" s="2" t="s">
        <v>2</v>
      </c>
      <c r="L14" s="1" t="s">
        <v>3</v>
      </c>
      <c r="M14" s="1" t="s">
        <v>4</v>
      </c>
      <c r="N14" s="1" t="s">
        <v>5</v>
      </c>
      <c r="O14" s="1" t="s">
        <v>6</v>
      </c>
      <c r="P14" s="1" t="s">
        <v>7</v>
      </c>
      <c r="Q14" s="1" t="s">
        <v>8</v>
      </c>
      <c r="R14" s="1" t="s">
        <v>9</v>
      </c>
      <c r="S14" s="3" t="s">
        <v>10</v>
      </c>
    </row>
    <row r="15" spans="1:19" ht="15.75" thickBot="1" x14ac:dyDescent="0.3">
      <c r="A15" s="4">
        <v>2</v>
      </c>
      <c r="B15" s="5">
        <v>1</v>
      </c>
      <c r="C15" s="5">
        <v>1</v>
      </c>
      <c r="D15" s="7">
        <f>C15/B15</f>
        <v>1</v>
      </c>
      <c r="E15" s="5">
        <f>'YGSYD Data'!A15+'YGSYD Data'!D15</f>
        <v>21</v>
      </c>
      <c r="F15" s="5">
        <f>'YGSYD Data'!B15+'YGSYD Data'!E15</f>
        <v>13</v>
      </c>
      <c r="G15" s="7">
        <f>F15/E15</f>
        <v>0.61904761904761907</v>
      </c>
      <c r="H15" s="7">
        <f>'YGSYD Data'!C15</f>
        <v>0.83333333333333337</v>
      </c>
      <c r="I15" s="8">
        <f>'YGSYD Data'!F15</f>
        <v>0.33333333333333331</v>
      </c>
      <c r="K15" s="4"/>
      <c r="L15" s="5">
        <v>2</v>
      </c>
      <c r="M15" s="5">
        <v>1</v>
      </c>
      <c r="N15" s="7">
        <f>M15/L15</f>
        <v>0.5</v>
      </c>
      <c r="O15" s="5">
        <f>'YGSYD Data'!H15+'YGSYD Data'!K15</f>
        <v>39</v>
      </c>
      <c r="P15" s="5">
        <f>'YGSYD Data'!I15+'YGSYD Data'!L15</f>
        <v>15</v>
      </c>
      <c r="Q15" s="7">
        <f>P15/O15</f>
        <v>0.38461538461538464</v>
      </c>
      <c r="R15" s="7">
        <f>'YGSYD Data'!J15</f>
        <v>0.33333333333333331</v>
      </c>
      <c r="S15" s="8">
        <f>'YGSYD Data'!M15</f>
        <v>0.46666666666666667</v>
      </c>
    </row>
    <row r="16" spans="1:19" ht="15.75" thickBot="1" x14ac:dyDescent="0.3"/>
    <row r="17" spans="1:19" x14ac:dyDescent="0.25">
      <c r="K17" s="13" t="s">
        <v>21</v>
      </c>
      <c r="L17" s="14"/>
      <c r="M17" s="14"/>
      <c r="N17" s="14"/>
      <c r="O17" s="14"/>
      <c r="P17" s="14"/>
      <c r="Q17" s="14"/>
      <c r="R17" s="14"/>
      <c r="S17" s="15"/>
    </row>
    <row r="18" spans="1:19" x14ac:dyDescent="0.25">
      <c r="A18" t="s">
        <v>9</v>
      </c>
      <c r="B18" s="11">
        <f>'YGSYD Data'!B18</f>
        <v>0.63358778625954193</v>
      </c>
      <c r="K18" s="2" t="s">
        <v>2</v>
      </c>
      <c r="L18" s="1" t="s">
        <v>3</v>
      </c>
      <c r="M18" s="1" t="s">
        <v>4</v>
      </c>
      <c r="N18" s="1" t="s">
        <v>5</v>
      </c>
      <c r="O18" s="1" t="s">
        <v>6</v>
      </c>
      <c r="P18" s="1" t="s">
        <v>7</v>
      </c>
      <c r="Q18" s="1" t="s">
        <v>8</v>
      </c>
      <c r="R18" s="1" t="s">
        <v>9</v>
      </c>
      <c r="S18" s="3" t="s">
        <v>10</v>
      </c>
    </row>
    <row r="19" spans="1:19" ht="15.75" thickBot="1" x14ac:dyDescent="0.3">
      <c r="A19" t="s">
        <v>10</v>
      </c>
      <c r="B19" s="11">
        <f>'YGSYD Data'!B19</f>
        <v>0.41599999999999998</v>
      </c>
      <c r="K19" s="4"/>
      <c r="L19" s="5">
        <v>2</v>
      </c>
      <c r="M19" s="5">
        <v>1</v>
      </c>
      <c r="N19" s="7">
        <f>M19/L19</f>
        <v>0.5</v>
      </c>
      <c r="O19" s="5">
        <f>'YGSYD Data'!H19+'YGSYD Data'!K19</f>
        <v>49</v>
      </c>
      <c r="P19" s="5">
        <f>'YGSYD Data'!I19+'YGSYD Data'!L19</f>
        <v>26</v>
      </c>
      <c r="Q19" s="7">
        <f>P19/O19</f>
        <v>0.53061224489795922</v>
      </c>
      <c r="R19" s="7">
        <f>'YGSYD Data'!J19</f>
        <v>0.60869565217391308</v>
      </c>
      <c r="S19" s="8">
        <f>'YGSYD Data'!M19</f>
        <v>0.46153846153846156</v>
      </c>
    </row>
  </sheetData>
  <mergeCells count="9">
    <mergeCell ref="K17:S17"/>
    <mergeCell ref="A13:I13"/>
    <mergeCell ref="A1:I1"/>
    <mergeCell ref="K1:S1"/>
    <mergeCell ref="A5:I5"/>
    <mergeCell ref="K9:S9"/>
    <mergeCell ref="A9:I9"/>
    <mergeCell ref="K5:S5"/>
    <mergeCell ref="K13:S13"/>
  </mergeCells>
  <conditionalFormatting sqref="B18:B19">
    <cfRule type="cellIs" dxfId="11" priority="25" operator="between">
      <formula>0.5</formula>
      <formula>1</formula>
    </cfRule>
    <cfRule type="cellIs" dxfId="10" priority="26" operator="between">
      <formula>0</formula>
      <formula>0.5</formula>
    </cfRule>
  </conditionalFormatting>
  <conditionalFormatting sqref="K11 K7 A3 A7 A11 A15 K3 K15 K19">
    <cfRule type="top10" dxfId="9" priority="33" rank="1"/>
  </conditionalFormatting>
  <conditionalFormatting sqref="L11 L7 B3 B7 B11 B15 L3 L15 L19">
    <cfRule type="top10" dxfId="8" priority="34" rank="1"/>
  </conditionalFormatting>
  <conditionalFormatting sqref="N11 N7 D3 D7 D11 D15 N3 N15 N19">
    <cfRule type="top10" dxfId="7" priority="24" rank="1"/>
    <cfRule type="top10" dxfId="6" priority="32" bottom="1" rank="1"/>
  </conditionalFormatting>
  <conditionalFormatting sqref="Q11 Q7 G3 G7 G11 G15 Q3 Q15 Q19">
    <cfRule type="top10" dxfId="5" priority="23" rank="1"/>
    <cfRule type="top10" dxfId="4" priority="31" bottom="1" rank="1"/>
  </conditionalFormatting>
  <conditionalFormatting sqref="R11 R7 H3 H7 H11 H15 R3 R15 R19">
    <cfRule type="top10" dxfId="3" priority="22" rank="1"/>
    <cfRule type="top10" dxfId="2" priority="30" bottom="1" rank="1"/>
  </conditionalFormatting>
  <conditionalFormatting sqref="S11 S7 I3 I7 I11 I15 S3 S15 S19">
    <cfRule type="top10" dxfId="1" priority="21" rank="1"/>
    <cfRule type="top10" dxfId="0" priority="29" bottom="1" rank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8DD0-483D-47DB-8779-FB83385F29B6}">
  <dimension ref="A1:M19"/>
  <sheetViews>
    <sheetView workbookViewId="0">
      <selection activeCell="I25" sqref="I25"/>
    </sheetView>
  </sheetViews>
  <sheetFormatPr defaultRowHeight="15" x14ac:dyDescent="0.25"/>
  <cols>
    <col min="1" max="1" width="17.42578125" bestFit="1" customWidth="1"/>
    <col min="2" max="2" width="15.42578125" bestFit="1" customWidth="1"/>
    <col min="4" max="4" width="17.42578125" bestFit="1" customWidth="1"/>
    <col min="5" max="5" width="15.42578125" bestFit="1" customWidth="1"/>
    <col min="8" max="8" width="17.42578125" bestFit="1" customWidth="1"/>
    <col min="9" max="9" width="15.42578125" bestFit="1" customWidth="1"/>
    <col min="11" max="11" width="17.5703125" bestFit="1" customWidth="1"/>
    <col min="12" max="12" width="15.5703125" bestFit="1" customWidth="1"/>
  </cols>
  <sheetData>
    <row r="1" spans="1:13" x14ac:dyDescent="0.25">
      <c r="A1" s="13" t="s">
        <v>0</v>
      </c>
      <c r="B1" s="14"/>
      <c r="C1" s="14"/>
      <c r="D1" s="14"/>
      <c r="E1" s="14"/>
      <c r="F1" s="15"/>
      <c r="H1" s="13" t="s">
        <v>1</v>
      </c>
      <c r="I1" s="14"/>
      <c r="J1" s="14"/>
      <c r="K1" s="14"/>
      <c r="L1" s="14"/>
      <c r="M1" s="15"/>
    </row>
    <row r="2" spans="1:13" x14ac:dyDescent="0.25">
      <c r="A2" s="2" t="s">
        <v>16</v>
      </c>
      <c r="B2" s="1" t="s">
        <v>17</v>
      </c>
      <c r="C2" s="1" t="s">
        <v>9</v>
      </c>
      <c r="D2" s="1" t="s">
        <v>18</v>
      </c>
      <c r="E2" s="1" t="s">
        <v>19</v>
      </c>
      <c r="F2" s="3" t="s">
        <v>10</v>
      </c>
      <c r="H2" s="2" t="s">
        <v>16</v>
      </c>
      <c r="I2" s="1" t="s">
        <v>17</v>
      </c>
      <c r="J2" s="1" t="s">
        <v>9</v>
      </c>
      <c r="K2" s="1" t="s">
        <v>18</v>
      </c>
      <c r="L2" s="1" t="s">
        <v>19</v>
      </c>
      <c r="M2" s="3" t="s">
        <v>10</v>
      </c>
    </row>
    <row r="3" spans="1:13" ht="15.75" thickBot="1" x14ac:dyDescent="0.3">
      <c r="A3" s="4">
        <v>12</v>
      </c>
      <c r="B3" s="5">
        <v>8</v>
      </c>
      <c r="C3" s="7">
        <f>B3/A3</f>
        <v>0.66666666666666663</v>
      </c>
      <c r="D3" s="5">
        <v>24</v>
      </c>
      <c r="E3" s="5">
        <v>10</v>
      </c>
      <c r="F3" s="8">
        <f>E3/D3</f>
        <v>0.41666666666666669</v>
      </c>
      <c r="H3" s="4"/>
      <c r="I3" s="5"/>
      <c r="J3" s="5"/>
      <c r="K3" s="5"/>
      <c r="L3" s="5"/>
      <c r="M3" s="6"/>
    </row>
    <row r="4" spans="1:13" ht="15.75" thickBot="1" x14ac:dyDescent="0.3"/>
    <row r="5" spans="1:13" x14ac:dyDescent="0.25">
      <c r="A5" s="13" t="s">
        <v>11</v>
      </c>
      <c r="B5" s="14"/>
      <c r="C5" s="14"/>
      <c r="D5" s="14"/>
      <c r="E5" s="14"/>
      <c r="F5" s="15"/>
      <c r="H5" s="13" t="s">
        <v>14</v>
      </c>
      <c r="I5" s="14"/>
      <c r="J5" s="14"/>
      <c r="K5" s="14"/>
      <c r="L5" s="14"/>
      <c r="M5" s="15"/>
    </row>
    <row r="6" spans="1:13" x14ac:dyDescent="0.25">
      <c r="A6" s="2" t="s">
        <v>16</v>
      </c>
      <c r="B6" s="1" t="s">
        <v>17</v>
      </c>
      <c r="C6" s="1" t="s">
        <v>9</v>
      </c>
      <c r="D6" s="1" t="s">
        <v>18</v>
      </c>
      <c r="E6" s="1" t="s">
        <v>19</v>
      </c>
      <c r="F6" s="3" t="s">
        <v>10</v>
      </c>
      <c r="H6" s="2" t="s">
        <v>16</v>
      </c>
      <c r="I6" s="1" t="s">
        <v>17</v>
      </c>
      <c r="J6" s="1" t="s">
        <v>9</v>
      </c>
      <c r="K6" s="1" t="s">
        <v>18</v>
      </c>
      <c r="L6" s="1" t="s">
        <v>19</v>
      </c>
      <c r="M6" s="3" t="s">
        <v>10</v>
      </c>
    </row>
    <row r="7" spans="1:13" ht="15.75" thickBot="1" x14ac:dyDescent="0.3">
      <c r="A7" s="4">
        <v>48</v>
      </c>
      <c r="B7" s="5">
        <v>34</v>
      </c>
      <c r="C7" s="7">
        <f>B7/A7</f>
        <v>0.70833333333333337</v>
      </c>
      <c r="D7" s="5">
        <v>39</v>
      </c>
      <c r="E7" s="5">
        <v>16</v>
      </c>
      <c r="F7" s="8">
        <f>E7/D7</f>
        <v>0.41025641025641024</v>
      </c>
      <c r="H7" s="4"/>
      <c r="I7" s="5"/>
      <c r="J7" s="5"/>
      <c r="K7" s="5"/>
      <c r="L7" s="5"/>
      <c r="M7" s="6"/>
    </row>
    <row r="8" spans="1:13" ht="15.75" thickBot="1" x14ac:dyDescent="0.3"/>
    <row r="9" spans="1:13" x14ac:dyDescent="0.25">
      <c r="A9" s="13" t="s">
        <v>13</v>
      </c>
      <c r="B9" s="14"/>
      <c r="C9" s="14"/>
      <c r="D9" s="14"/>
      <c r="E9" s="14"/>
      <c r="F9" s="15"/>
      <c r="H9" s="13" t="s">
        <v>12</v>
      </c>
      <c r="I9" s="14"/>
      <c r="J9" s="14"/>
      <c r="K9" s="14"/>
      <c r="L9" s="14"/>
      <c r="M9" s="15"/>
    </row>
    <row r="10" spans="1:13" x14ac:dyDescent="0.25">
      <c r="A10" s="2" t="s">
        <v>16</v>
      </c>
      <c r="B10" s="1" t="s">
        <v>17</v>
      </c>
      <c r="C10" s="1" t="s">
        <v>9</v>
      </c>
      <c r="D10" s="1" t="s">
        <v>18</v>
      </c>
      <c r="E10" s="1" t="s">
        <v>19</v>
      </c>
      <c r="F10" s="3" t="s">
        <v>10</v>
      </c>
      <c r="H10" s="2" t="s">
        <v>16</v>
      </c>
      <c r="I10" s="1" t="s">
        <v>17</v>
      </c>
      <c r="J10" s="1" t="s">
        <v>9</v>
      </c>
      <c r="K10" s="1" t="s">
        <v>18</v>
      </c>
      <c r="L10" s="1" t="s">
        <v>19</v>
      </c>
      <c r="M10" s="3" t="s">
        <v>10</v>
      </c>
    </row>
    <row r="11" spans="1:13" ht="15.75" thickBot="1" x14ac:dyDescent="0.3">
      <c r="A11" s="4"/>
      <c r="B11" s="5"/>
      <c r="C11" s="5"/>
      <c r="D11" s="5"/>
      <c r="E11" s="5"/>
      <c r="F11" s="6"/>
      <c r="H11" s="4">
        <v>12</v>
      </c>
      <c r="I11" s="5">
        <v>9</v>
      </c>
      <c r="J11" s="7">
        <f>I11/H11</f>
        <v>0.75</v>
      </c>
      <c r="K11" s="5">
        <v>12</v>
      </c>
      <c r="L11" s="5">
        <v>4</v>
      </c>
      <c r="M11" s="8">
        <f>L11/K11</f>
        <v>0.33333333333333331</v>
      </c>
    </row>
    <row r="12" spans="1:13" ht="15.75" thickBot="1" x14ac:dyDescent="0.3"/>
    <row r="13" spans="1:13" x14ac:dyDescent="0.25">
      <c r="A13" s="13" t="s">
        <v>15</v>
      </c>
      <c r="B13" s="14"/>
      <c r="C13" s="14"/>
      <c r="D13" s="14"/>
      <c r="E13" s="14"/>
      <c r="F13" s="15"/>
      <c r="H13" s="13" t="s">
        <v>20</v>
      </c>
      <c r="I13" s="14"/>
      <c r="J13" s="14"/>
      <c r="K13" s="14"/>
      <c r="L13" s="14"/>
      <c r="M13" s="15"/>
    </row>
    <row r="14" spans="1:13" x14ac:dyDescent="0.25">
      <c r="A14" s="2" t="s">
        <v>16</v>
      </c>
      <c r="B14" s="1" t="s">
        <v>17</v>
      </c>
      <c r="C14" s="1" t="s">
        <v>9</v>
      </c>
      <c r="D14" s="1" t="s">
        <v>18</v>
      </c>
      <c r="E14" s="1" t="s">
        <v>19</v>
      </c>
      <c r="F14" s="3" t="s">
        <v>10</v>
      </c>
      <c r="H14" s="2" t="s">
        <v>16</v>
      </c>
      <c r="I14" s="1" t="s">
        <v>17</v>
      </c>
      <c r="J14" s="1" t="s">
        <v>9</v>
      </c>
      <c r="K14" s="1" t="s">
        <v>18</v>
      </c>
      <c r="L14" s="1" t="s">
        <v>19</v>
      </c>
      <c r="M14" s="3" t="s">
        <v>10</v>
      </c>
    </row>
    <row r="15" spans="1:13" ht="15.75" thickBot="1" x14ac:dyDescent="0.3">
      <c r="A15" s="4">
        <v>12</v>
      </c>
      <c r="B15" s="5">
        <v>10</v>
      </c>
      <c r="C15" s="7">
        <f>B15/A15</f>
        <v>0.83333333333333337</v>
      </c>
      <c r="D15" s="5">
        <v>9</v>
      </c>
      <c r="E15" s="5">
        <v>3</v>
      </c>
      <c r="F15" s="8">
        <f>E15/D15</f>
        <v>0.33333333333333331</v>
      </c>
      <c r="H15" s="4">
        <v>24</v>
      </c>
      <c r="I15" s="5">
        <v>8</v>
      </c>
      <c r="J15" s="7">
        <f>I15/H15</f>
        <v>0.33333333333333331</v>
      </c>
      <c r="K15" s="5">
        <v>15</v>
      </c>
      <c r="L15" s="5">
        <v>7</v>
      </c>
      <c r="M15" s="8">
        <f>L15/K15</f>
        <v>0.46666666666666667</v>
      </c>
    </row>
    <row r="16" spans="1:13" ht="15.75" thickBot="1" x14ac:dyDescent="0.3"/>
    <row r="17" spans="1:13" x14ac:dyDescent="0.25">
      <c r="H17" s="13" t="s">
        <v>21</v>
      </c>
      <c r="I17" s="14"/>
      <c r="J17" s="14"/>
      <c r="K17" s="14"/>
      <c r="L17" s="14"/>
      <c r="M17" s="15"/>
    </row>
    <row r="18" spans="1:13" x14ac:dyDescent="0.25">
      <c r="A18" t="s">
        <v>9</v>
      </c>
      <c r="B18" s="10">
        <f>(B3+B7+B11+B15+I3+I7+I11+I15+I19)/(A3+A7+A11+A15+H3+H7+H11+H15+H19)</f>
        <v>0.63358778625954193</v>
      </c>
      <c r="H18" s="2" t="s">
        <v>16</v>
      </c>
      <c r="I18" s="1" t="s">
        <v>17</v>
      </c>
      <c r="J18" s="1" t="s">
        <v>9</v>
      </c>
      <c r="K18" s="1" t="s">
        <v>18</v>
      </c>
      <c r="L18" s="1" t="s">
        <v>19</v>
      </c>
      <c r="M18" s="3" t="s">
        <v>10</v>
      </c>
    </row>
    <row r="19" spans="1:13" ht="15.75" thickBot="1" x14ac:dyDescent="0.3">
      <c r="A19" t="s">
        <v>10</v>
      </c>
      <c r="B19" s="10">
        <f>(E3+E7+E11+E15+L11+L7+L3+L15+L19)/(D3+D7+D11+D15+K11+K7+K3+K15+K19)</f>
        <v>0.41599999999999998</v>
      </c>
      <c r="H19" s="4">
        <v>23</v>
      </c>
      <c r="I19" s="5">
        <v>14</v>
      </c>
      <c r="J19" s="7">
        <f>I19/H19</f>
        <v>0.60869565217391308</v>
      </c>
      <c r="K19" s="5">
        <v>26</v>
      </c>
      <c r="L19" s="5">
        <v>12</v>
      </c>
      <c r="M19" s="8">
        <f>L19/K19</f>
        <v>0.46153846153846156</v>
      </c>
    </row>
  </sheetData>
  <mergeCells count="9">
    <mergeCell ref="H17:M17"/>
    <mergeCell ref="A13:F13"/>
    <mergeCell ref="A1:F1"/>
    <mergeCell ref="H1:M1"/>
    <mergeCell ref="A5:F5"/>
    <mergeCell ref="H5:M5"/>
    <mergeCell ref="A9:F9"/>
    <mergeCell ref="H9:M9"/>
    <mergeCell ref="H13:M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Absolute Cinema</vt:lpstr>
      <vt:lpstr>CIN Data</vt:lpstr>
      <vt:lpstr>Kurt's Kittens</vt:lpstr>
      <vt:lpstr>KAT Data</vt:lpstr>
      <vt:lpstr>The Brick Wall</vt:lpstr>
      <vt:lpstr>WALL Data</vt:lpstr>
      <vt:lpstr>You Get Shot You Die</vt:lpstr>
      <vt:lpstr>YGSYD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G</dc:creator>
  <cp:keywords/>
  <dc:description/>
  <cp:lastModifiedBy>Alex G</cp:lastModifiedBy>
  <cp:revision/>
  <dcterms:created xsi:type="dcterms:W3CDTF">2025-06-12T10:21:05Z</dcterms:created>
  <dcterms:modified xsi:type="dcterms:W3CDTF">2025-10-11T03:00:25Z</dcterms:modified>
  <cp:category/>
  <cp:contentStatus/>
</cp:coreProperties>
</file>