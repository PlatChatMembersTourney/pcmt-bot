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89d63768f222688/Desktop/Plat Chat Tournament/Season 1/"/>
    </mc:Choice>
  </mc:AlternateContent>
  <xr:revisionPtr revIDLastSave="3" documentId="11_8535C84B5C4264EC0174C6B5BAB7214C8DC8B95C" xr6:coauthVersionLast="47" xr6:coauthVersionMax="47" xr10:uidLastSave="{22BEF26C-D34B-4926-923F-3C00E3183861}"/>
  <bookViews>
    <workbookView xWindow="-120" yWindow="-120" windowWidth="29040" windowHeight="15720" xr2:uid="{00000000-000D-0000-FFFF-FFFF00000000}"/>
  </bookViews>
  <sheets>
    <sheet name="Overall" sheetId="1" r:id="rId1"/>
    <sheet name="Group Stage" sheetId="2" r:id="rId2"/>
    <sheet name="Playoffs" sheetId="3" r:id="rId3"/>
  </sheets>
  <definedNames>
    <definedName name="_xlnm._FilterDatabase" localSheetId="1" hidden="1">'Group Stage'!$A$1:$U$1</definedName>
    <definedName name="_xlnm._FilterDatabase" localSheetId="0" hidden="1">Overall!$A$1:$U$1</definedName>
    <definedName name="_xlnm._FilterDatabase" localSheetId="2" hidden="1">Playoffs!$A$1:$U$1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3" l="1"/>
  <c r="L18" i="3"/>
  <c r="K18" i="3"/>
  <c r="J18" i="3"/>
  <c r="I18" i="3"/>
  <c r="F18" i="3"/>
  <c r="N17" i="3"/>
  <c r="L17" i="3"/>
  <c r="K17" i="3"/>
  <c r="J17" i="3"/>
  <c r="I17" i="3"/>
  <c r="F17" i="3"/>
  <c r="N15" i="3"/>
  <c r="L15" i="3"/>
  <c r="K15" i="3"/>
  <c r="J15" i="3"/>
  <c r="I15" i="3"/>
  <c r="F15" i="3"/>
  <c r="N12" i="3"/>
  <c r="L12" i="3"/>
  <c r="K12" i="3"/>
  <c r="J12" i="3"/>
  <c r="I12" i="3"/>
  <c r="F12" i="3"/>
  <c r="N7" i="3"/>
  <c r="L7" i="3"/>
  <c r="K7" i="3"/>
  <c r="J7" i="3"/>
  <c r="I7" i="3"/>
  <c r="F7" i="3"/>
  <c r="N4" i="3"/>
  <c r="L4" i="3"/>
  <c r="K4" i="3"/>
  <c r="J4" i="3"/>
  <c r="I4" i="3"/>
  <c r="F4" i="3"/>
  <c r="N22" i="3"/>
  <c r="L22" i="3"/>
  <c r="K22" i="3"/>
  <c r="J22" i="3"/>
  <c r="I22" i="3"/>
  <c r="F22" i="3"/>
  <c r="N20" i="3"/>
  <c r="L20" i="3"/>
  <c r="K20" i="3"/>
  <c r="J20" i="3"/>
  <c r="I20" i="3"/>
  <c r="F20" i="3"/>
  <c r="N16" i="3"/>
  <c r="L16" i="3"/>
  <c r="K16" i="3"/>
  <c r="J16" i="3"/>
  <c r="I16" i="3"/>
  <c r="F16" i="3"/>
  <c r="N9" i="3"/>
  <c r="L9" i="3"/>
  <c r="K9" i="3"/>
  <c r="J9" i="3"/>
  <c r="I9" i="3"/>
  <c r="F9" i="3"/>
  <c r="N6" i="3"/>
  <c r="L6" i="3"/>
  <c r="K6" i="3"/>
  <c r="J6" i="3"/>
  <c r="I6" i="3"/>
  <c r="F6" i="3"/>
  <c r="N23" i="3"/>
  <c r="L23" i="3"/>
  <c r="K23" i="3"/>
  <c r="J23" i="3"/>
  <c r="I23" i="3"/>
  <c r="F23" i="3"/>
  <c r="N21" i="3"/>
  <c r="L21" i="3"/>
  <c r="K21" i="3"/>
  <c r="J21" i="3"/>
  <c r="I21" i="3"/>
  <c r="F21" i="3"/>
  <c r="N14" i="3"/>
  <c r="L14" i="3"/>
  <c r="K14" i="3"/>
  <c r="J14" i="3"/>
  <c r="I14" i="3"/>
  <c r="F14" i="3"/>
  <c r="N11" i="3"/>
  <c r="L11" i="3"/>
  <c r="K11" i="3"/>
  <c r="J11" i="3"/>
  <c r="I11" i="3"/>
  <c r="F11" i="3"/>
  <c r="N10" i="3"/>
  <c r="L10" i="3"/>
  <c r="K10" i="3"/>
  <c r="J10" i="3"/>
  <c r="I10" i="3"/>
  <c r="F10" i="3"/>
  <c r="N3" i="3"/>
  <c r="L3" i="3"/>
  <c r="K3" i="3"/>
  <c r="J3" i="3"/>
  <c r="I3" i="3"/>
  <c r="F3" i="3"/>
  <c r="N2" i="3"/>
  <c r="L2" i="3"/>
  <c r="K2" i="3"/>
  <c r="J2" i="3"/>
  <c r="I2" i="3"/>
  <c r="F2" i="3"/>
  <c r="N25" i="3"/>
  <c r="L25" i="3"/>
  <c r="K25" i="3"/>
  <c r="J25" i="3"/>
  <c r="I25" i="3"/>
  <c r="F25" i="3"/>
  <c r="N24" i="3"/>
  <c r="L24" i="3"/>
  <c r="K24" i="3"/>
  <c r="J24" i="3"/>
  <c r="I24" i="3"/>
  <c r="F24" i="3"/>
  <c r="N19" i="3"/>
  <c r="L19" i="3"/>
  <c r="K19" i="3"/>
  <c r="J19" i="3"/>
  <c r="I19" i="3"/>
  <c r="F19" i="3"/>
  <c r="N13" i="3"/>
  <c r="L13" i="3"/>
  <c r="K13" i="3"/>
  <c r="J13" i="3"/>
  <c r="I13" i="3"/>
  <c r="F13" i="3"/>
  <c r="N8" i="3"/>
  <c r="L8" i="3"/>
  <c r="K8" i="3"/>
  <c r="J8" i="3"/>
  <c r="I8" i="3"/>
  <c r="F8" i="3"/>
  <c r="N5" i="3"/>
  <c r="L5" i="3"/>
  <c r="K5" i="3"/>
  <c r="J5" i="3"/>
  <c r="I5" i="3"/>
  <c r="F5" i="3"/>
  <c r="N24" i="2"/>
  <c r="L24" i="2"/>
  <c r="K24" i="2"/>
  <c r="J24" i="2"/>
  <c r="I24" i="2"/>
  <c r="F24" i="2"/>
  <c r="N23" i="2"/>
  <c r="L23" i="2"/>
  <c r="K23" i="2"/>
  <c r="J23" i="2"/>
  <c r="I23" i="2"/>
  <c r="F23" i="2"/>
  <c r="N22" i="2"/>
  <c r="L22" i="2"/>
  <c r="K22" i="2"/>
  <c r="J22" i="2"/>
  <c r="I22" i="2"/>
  <c r="F22" i="2"/>
  <c r="N21" i="2"/>
  <c r="L21" i="2"/>
  <c r="K21" i="2"/>
  <c r="J21" i="2"/>
  <c r="I21" i="2"/>
  <c r="F21" i="2"/>
  <c r="N20" i="2"/>
  <c r="L20" i="2"/>
  <c r="K20" i="2"/>
  <c r="J20" i="2"/>
  <c r="I20" i="2"/>
  <c r="F20" i="2"/>
  <c r="N19" i="2"/>
  <c r="L19" i="2"/>
  <c r="K19" i="2"/>
  <c r="J19" i="2"/>
  <c r="I19" i="2"/>
  <c r="F19" i="2"/>
  <c r="N18" i="2"/>
  <c r="L18" i="2"/>
  <c r="K18" i="2"/>
  <c r="J18" i="2"/>
  <c r="I18" i="2"/>
  <c r="F18" i="2"/>
  <c r="N17" i="2"/>
  <c r="L17" i="2"/>
  <c r="K17" i="2"/>
  <c r="J17" i="2"/>
  <c r="I17" i="2"/>
  <c r="F17" i="2"/>
  <c r="N16" i="2"/>
  <c r="L16" i="2"/>
  <c r="K16" i="2"/>
  <c r="J16" i="2"/>
  <c r="I16" i="2"/>
  <c r="F16" i="2"/>
  <c r="N15" i="2"/>
  <c r="L15" i="2"/>
  <c r="K15" i="2"/>
  <c r="J15" i="2"/>
  <c r="I15" i="2"/>
  <c r="F15" i="2"/>
  <c r="N14" i="2"/>
  <c r="L14" i="2"/>
  <c r="K14" i="2"/>
  <c r="J14" i="2"/>
  <c r="I14" i="2"/>
  <c r="F14" i="2"/>
  <c r="N13" i="2"/>
  <c r="L13" i="2"/>
  <c r="K13" i="2"/>
  <c r="J13" i="2"/>
  <c r="I13" i="2"/>
  <c r="F13" i="2"/>
  <c r="N12" i="2"/>
  <c r="L12" i="2"/>
  <c r="K12" i="2"/>
  <c r="J12" i="2"/>
  <c r="I12" i="2"/>
  <c r="F12" i="2"/>
  <c r="N11" i="2"/>
  <c r="L11" i="2"/>
  <c r="K11" i="2"/>
  <c r="J11" i="2"/>
  <c r="I11" i="2"/>
  <c r="F11" i="2"/>
  <c r="N10" i="2"/>
  <c r="L10" i="2"/>
  <c r="K10" i="2"/>
  <c r="J10" i="2"/>
  <c r="I10" i="2"/>
  <c r="F10" i="2"/>
  <c r="N9" i="2"/>
  <c r="L9" i="2"/>
  <c r="K9" i="2"/>
  <c r="J9" i="2"/>
  <c r="I9" i="2"/>
  <c r="F9" i="2"/>
  <c r="N8" i="2"/>
  <c r="L8" i="2"/>
  <c r="K8" i="2"/>
  <c r="J8" i="2"/>
  <c r="I8" i="2"/>
  <c r="F8" i="2"/>
  <c r="N7" i="2"/>
  <c r="L7" i="2"/>
  <c r="K7" i="2"/>
  <c r="J7" i="2"/>
  <c r="I7" i="2"/>
  <c r="F7" i="2"/>
  <c r="N6" i="2"/>
  <c r="L6" i="2"/>
  <c r="K6" i="2"/>
  <c r="J6" i="2"/>
  <c r="I6" i="2"/>
  <c r="F6" i="2"/>
  <c r="N5" i="2"/>
  <c r="L5" i="2"/>
  <c r="K5" i="2"/>
  <c r="J5" i="2"/>
  <c r="I5" i="2"/>
  <c r="F5" i="2"/>
  <c r="N4" i="2"/>
  <c r="L4" i="2"/>
  <c r="K4" i="2"/>
  <c r="J4" i="2"/>
  <c r="I4" i="2"/>
  <c r="F4" i="2"/>
  <c r="N3" i="2"/>
  <c r="L3" i="2"/>
  <c r="K3" i="2"/>
  <c r="J3" i="2"/>
  <c r="I3" i="2"/>
  <c r="F3" i="2"/>
  <c r="N2" i="2"/>
  <c r="L2" i="2"/>
  <c r="K2" i="2"/>
  <c r="J2" i="2"/>
  <c r="I2" i="2"/>
  <c r="F2" i="2"/>
  <c r="N25" i="1"/>
  <c r="L25" i="1"/>
  <c r="K25" i="1"/>
  <c r="J25" i="1"/>
  <c r="I25" i="1"/>
  <c r="F25" i="1"/>
  <c r="N2" i="1"/>
  <c r="L2" i="1"/>
  <c r="K2" i="1"/>
  <c r="J2" i="1"/>
  <c r="I2" i="1"/>
  <c r="F2" i="1"/>
  <c r="N22" i="1"/>
  <c r="L22" i="1"/>
  <c r="K22" i="1"/>
  <c r="J22" i="1"/>
  <c r="I22" i="1"/>
  <c r="F22" i="1"/>
  <c r="N26" i="1"/>
  <c r="L26" i="1"/>
  <c r="K26" i="1"/>
  <c r="J26" i="1"/>
  <c r="I26" i="1"/>
  <c r="F26" i="1"/>
  <c r="N3" i="1"/>
  <c r="L3" i="1"/>
  <c r="K3" i="1"/>
  <c r="J3" i="1"/>
  <c r="I3" i="1"/>
  <c r="F3" i="1"/>
  <c r="N7" i="1"/>
  <c r="L7" i="1"/>
  <c r="K7" i="1"/>
  <c r="J7" i="1"/>
  <c r="I7" i="1"/>
  <c r="F7" i="1"/>
  <c r="N20" i="1"/>
  <c r="L20" i="1"/>
  <c r="K20" i="1"/>
  <c r="J20" i="1"/>
  <c r="I20" i="1"/>
  <c r="F20" i="1"/>
  <c r="N4" i="1"/>
  <c r="L4" i="1"/>
  <c r="K4" i="1"/>
  <c r="J4" i="1"/>
  <c r="I4" i="1"/>
  <c r="F4" i="1"/>
  <c r="N9" i="1"/>
  <c r="L9" i="1"/>
  <c r="K9" i="1"/>
  <c r="J9" i="1"/>
  <c r="I9" i="1"/>
  <c r="F9" i="1"/>
  <c r="N19" i="1"/>
  <c r="L19" i="1"/>
  <c r="K19" i="1"/>
  <c r="J19" i="1"/>
  <c r="I19" i="1"/>
  <c r="F19" i="1"/>
  <c r="N6" i="1"/>
  <c r="L6" i="1"/>
  <c r="K6" i="1"/>
  <c r="J6" i="1"/>
  <c r="I6" i="1"/>
  <c r="F6" i="1"/>
  <c r="N23" i="1"/>
  <c r="L23" i="1"/>
  <c r="K23" i="1"/>
  <c r="J23" i="1"/>
  <c r="I23" i="1"/>
  <c r="F23" i="1"/>
  <c r="N24" i="1"/>
  <c r="L24" i="1"/>
  <c r="K24" i="1"/>
  <c r="J24" i="1"/>
  <c r="I24" i="1"/>
  <c r="F24" i="1"/>
  <c r="N21" i="1"/>
  <c r="L21" i="1"/>
  <c r="K21" i="1"/>
  <c r="J21" i="1"/>
  <c r="I21" i="1"/>
  <c r="F21" i="1"/>
  <c r="N11" i="1"/>
  <c r="L11" i="1"/>
  <c r="K11" i="1"/>
  <c r="J11" i="1"/>
  <c r="I11" i="1"/>
  <c r="F11" i="1"/>
  <c r="N12" i="1"/>
  <c r="L12" i="1"/>
  <c r="K12" i="1"/>
  <c r="J12" i="1"/>
  <c r="I12" i="1"/>
  <c r="F12" i="1"/>
  <c r="N16" i="1"/>
  <c r="L16" i="1"/>
  <c r="K16" i="1"/>
  <c r="J16" i="1"/>
  <c r="I16" i="1"/>
  <c r="F16" i="1"/>
  <c r="N10" i="1"/>
  <c r="L10" i="1"/>
  <c r="K10" i="1"/>
  <c r="J10" i="1"/>
  <c r="I10" i="1"/>
  <c r="F10" i="1"/>
  <c r="N14" i="1"/>
  <c r="L14" i="1"/>
  <c r="K14" i="1"/>
  <c r="J14" i="1"/>
  <c r="I14" i="1"/>
  <c r="F14" i="1"/>
  <c r="N17" i="1"/>
  <c r="L17" i="1"/>
  <c r="K17" i="1"/>
  <c r="J17" i="1"/>
  <c r="I17" i="1"/>
  <c r="F17" i="1"/>
  <c r="N18" i="1"/>
  <c r="L18" i="1"/>
  <c r="K18" i="1"/>
  <c r="J18" i="1"/>
  <c r="I18" i="1"/>
  <c r="F18" i="1"/>
  <c r="N13" i="1"/>
  <c r="L13" i="1"/>
  <c r="K13" i="1"/>
  <c r="J13" i="1"/>
  <c r="I13" i="1"/>
  <c r="F13" i="1"/>
  <c r="N15" i="1"/>
  <c r="L15" i="1"/>
  <c r="K15" i="1"/>
  <c r="J15" i="1"/>
  <c r="I15" i="1"/>
  <c r="F15" i="1"/>
  <c r="N8" i="1"/>
  <c r="L8" i="1"/>
  <c r="K8" i="1"/>
  <c r="J8" i="1"/>
  <c r="I8" i="1"/>
  <c r="F8" i="1"/>
  <c r="N5" i="1"/>
  <c r="L5" i="1"/>
  <c r="K5" i="1"/>
  <c r="J5" i="1"/>
  <c r="I5" i="1"/>
  <c r="F5" i="1"/>
</calcChain>
</file>

<file path=xl/sharedStrings.xml><?xml version="1.0" encoding="utf-8"?>
<sst xmlns="http://schemas.openxmlformats.org/spreadsheetml/2006/main" count="212" uniqueCount="52">
  <si>
    <t>Player</t>
  </si>
  <si>
    <t>Team</t>
  </si>
  <si>
    <t>Rounds</t>
  </si>
  <si>
    <t>R1.0</t>
  </si>
  <si>
    <t>ACS</t>
  </si>
  <si>
    <t>K:D</t>
  </si>
  <si>
    <t>KAST</t>
  </si>
  <si>
    <t>ADR</t>
  </si>
  <si>
    <t>KPR</t>
  </si>
  <si>
    <t>APR</t>
  </si>
  <si>
    <t>FKPR</t>
  </si>
  <si>
    <t>FDPR</t>
  </si>
  <si>
    <t>HS%</t>
  </si>
  <si>
    <t>CL%</t>
  </si>
  <si>
    <t>CL</t>
  </si>
  <si>
    <t>KMAX</t>
  </si>
  <si>
    <t>K</t>
  </si>
  <si>
    <t>D</t>
  </si>
  <si>
    <t>A</t>
  </si>
  <si>
    <t>FK</t>
  </si>
  <si>
    <t>FD</t>
  </si>
  <si>
    <t>MrSirClaps*</t>
  </si>
  <si>
    <t>KAT/CIN</t>
  </si>
  <si>
    <t>Lil Thighs</t>
  </si>
  <si>
    <t>WALL</t>
  </si>
  <si>
    <t>Angus</t>
  </si>
  <si>
    <t>KAT</t>
  </si>
  <si>
    <t>retro</t>
  </si>
  <si>
    <t>YD</t>
  </si>
  <si>
    <t>Platypus_Eggs</t>
  </si>
  <si>
    <t>CIN</t>
  </si>
  <si>
    <t>pi</t>
  </si>
  <si>
    <t>hyypernova</t>
  </si>
  <si>
    <t>Moelandblue</t>
  </si>
  <si>
    <t>Mr Basil</t>
  </si>
  <si>
    <t>abstracq</t>
  </si>
  <si>
    <t>igneous</t>
  </si>
  <si>
    <t>longclaw</t>
  </si>
  <si>
    <t>haych*</t>
  </si>
  <si>
    <t>Tenyaku</t>
  </si>
  <si>
    <t>skye</t>
  </si>
  <si>
    <t>lore</t>
  </si>
  <si>
    <t>dunkn</t>
  </si>
  <si>
    <t>amara</t>
  </si>
  <si>
    <t>devil</t>
  </si>
  <si>
    <t>platinum</t>
  </si>
  <si>
    <t>beans</t>
  </si>
  <si>
    <t>AtmosFear</t>
  </si>
  <si>
    <t>cardamom</t>
  </si>
  <si>
    <t>caprielle</t>
  </si>
  <si>
    <t>WHOGOTPIE*</t>
  </si>
  <si>
    <t>*Stand-in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</si>
</sst>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9" fontId="2" fillId="0" borderId="0" xfId="1" applyAlignment="1">
      <alignment horizontal="left"/>
    </xf>
    <xf numFmtId="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1" xfId="0" applyBorder="1"/>
    <xf numFmtId="9" fontId="0" fillId="0" borderId="1" xfId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left"/>
    </xf>
    <xf numFmtId="2" fontId="0" fillId="0" borderId="2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9" fontId="2" fillId="0" borderId="2" xfId="1" applyBorder="1" applyAlignment="1">
      <alignment horizontal="left"/>
    </xf>
    <xf numFmtId="164" fontId="0" fillId="0" borderId="2" xfId="0" applyNumberFormat="1" applyBorder="1" applyAlignment="1">
      <alignment horizontal="left"/>
    </xf>
    <xf numFmtId="9" fontId="0" fillId="0" borderId="3" xfId="1" applyFont="1" applyBorder="1" applyAlignment="1">
      <alignment horizontal="left"/>
    </xf>
    <xf numFmtId="0" fontId="0" fillId="0" borderId="3" xfId="0" applyBorder="1" applyAlignment="1">
      <alignment horizontal="left"/>
    </xf>
    <xf numFmtId="9" fontId="0" fillId="0" borderId="2" xfId="0" applyNumberFormat="1" applyBorder="1" applyAlignment="1">
      <alignment horizontal="left"/>
    </xf>
  </cellXfs>
  <cellStyles count="2">
    <cellStyle name="Normal" xfId="0" builtinId="0"/>
    <cellStyle name="Percent" xfId="1" builtinId="5"/>
  </cellStyles>
  <dxfs count="2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"/>
  <sheetViews>
    <sheetView tabSelected="1" workbookViewId="0">
      <selection activeCell="A8" sqref="A8"/>
    </sheetView>
  </sheetViews>
  <sheetFormatPr defaultRowHeight="15" x14ac:dyDescent="0.25"/>
  <cols>
    <col min="1" max="1" width="13.140625" bestFit="1" customWidth="1"/>
    <col min="2" max="2" width="10.42578125" bestFit="1" customWidth="1"/>
    <col min="3" max="3" width="12.42578125" bestFit="1" customWidth="1"/>
    <col min="4" max="4" width="9.42578125" bestFit="1" customWidth="1"/>
    <col min="5" max="5" width="9.28515625" bestFit="1" customWidth="1"/>
    <col min="6" max="6" width="8.7109375" bestFit="1" customWidth="1"/>
    <col min="7" max="7" width="10" bestFit="1" customWidth="1"/>
    <col min="8" max="8" width="9.42578125" bestFit="1" customWidth="1"/>
    <col min="11" max="11" width="10.140625" bestFit="1" customWidth="1"/>
    <col min="12" max="12" width="10.42578125" bestFit="1" customWidth="1"/>
    <col min="13" max="13" width="9.7109375" bestFit="1" customWidth="1"/>
    <col min="14" max="14" width="9.5703125" bestFit="1" customWidth="1"/>
    <col min="15" max="15" width="8" bestFit="1" customWidth="1"/>
    <col min="16" max="16" width="10.5703125" bestFit="1" customWidth="1"/>
  </cols>
  <sheetData>
    <row r="1" spans="1:22" x14ac:dyDescent="0.25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8" t="s">
        <v>20</v>
      </c>
    </row>
    <row r="2" spans="1:22" x14ac:dyDescent="0.25">
      <c r="A2" t="s">
        <v>49</v>
      </c>
      <c r="B2" s="9" t="s">
        <v>26</v>
      </c>
      <c r="C2" s="1">
        <v>402</v>
      </c>
      <c r="D2" s="2">
        <v>0.52</v>
      </c>
      <c r="E2" s="6">
        <v>80.12</v>
      </c>
      <c r="F2" s="2">
        <f t="shared" ref="F2:F26" si="0">Q2/R2</f>
        <v>0.51449275362318836</v>
      </c>
      <c r="G2" s="4">
        <v>0.60499999999999998</v>
      </c>
      <c r="H2" s="5">
        <v>55.27</v>
      </c>
      <c r="I2" s="2">
        <f t="shared" ref="I2:I26" si="1">Q2/C2</f>
        <v>0.35323383084577115</v>
      </c>
      <c r="J2" s="2">
        <f t="shared" ref="J2:J26" si="2">S2/C2</f>
        <v>0.22885572139303484</v>
      </c>
      <c r="K2" s="2">
        <f t="shared" ref="K2:K26" si="3">T2/C2</f>
        <v>1.4925373134328358E-2</v>
      </c>
      <c r="L2" s="2">
        <f t="shared" ref="L2:L26" si="4">U2/C2</f>
        <v>5.4726368159203981E-2</v>
      </c>
      <c r="M2" s="4">
        <v>0.13500000000000001</v>
      </c>
      <c r="N2" s="10">
        <f t="shared" ref="N2:N26" si="5">O2/C2</f>
        <v>1.4925373134328358E-2</v>
      </c>
      <c r="O2" s="1">
        <v>6</v>
      </c>
      <c r="P2" s="1">
        <v>14</v>
      </c>
      <c r="Q2" s="1">
        <v>142</v>
      </c>
      <c r="R2" s="1">
        <v>276</v>
      </c>
      <c r="S2" s="1">
        <v>92</v>
      </c>
      <c r="T2" s="1">
        <v>6</v>
      </c>
      <c r="U2" s="11">
        <v>22</v>
      </c>
    </row>
    <row r="3" spans="1:22" x14ac:dyDescent="0.25">
      <c r="A3" t="s">
        <v>46</v>
      </c>
      <c r="B3" s="9" t="s">
        <v>26</v>
      </c>
      <c r="C3" s="1">
        <v>352</v>
      </c>
      <c r="D3" s="2">
        <v>0.83</v>
      </c>
      <c r="E3" s="6">
        <v>157.21</v>
      </c>
      <c r="F3" s="2">
        <f t="shared" si="0"/>
        <v>0.78048780487804881</v>
      </c>
      <c r="G3" s="4">
        <v>0.72</v>
      </c>
      <c r="H3" s="5">
        <v>103.82</v>
      </c>
      <c r="I3" s="2">
        <f t="shared" si="1"/>
        <v>0.54545454545454541</v>
      </c>
      <c r="J3" s="2">
        <f t="shared" si="2"/>
        <v>0.28409090909090912</v>
      </c>
      <c r="K3" s="2">
        <f t="shared" si="3"/>
        <v>4.5454545454545456E-2</v>
      </c>
      <c r="L3" s="2">
        <f t="shared" si="4"/>
        <v>8.8068181818181823E-2</v>
      </c>
      <c r="M3" s="4">
        <v>0.15</v>
      </c>
      <c r="N3" s="10">
        <f t="shared" si="5"/>
        <v>5.681818181818182E-3</v>
      </c>
      <c r="O3" s="1">
        <v>2</v>
      </c>
      <c r="P3" s="1">
        <v>16</v>
      </c>
      <c r="Q3" s="1">
        <v>192</v>
      </c>
      <c r="R3" s="1">
        <v>246</v>
      </c>
      <c r="S3" s="1">
        <v>100</v>
      </c>
      <c r="T3" s="1">
        <v>16</v>
      </c>
      <c r="U3" s="11">
        <v>31</v>
      </c>
    </row>
    <row r="4" spans="1:22" x14ac:dyDescent="0.25">
      <c r="A4" t="s">
        <v>43</v>
      </c>
      <c r="B4" s="9" t="s">
        <v>28</v>
      </c>
      <c r="C4" s="1">
        <v>335</v>
      </c>
      <c r="D4" s="2">
        <v>0.89</v>
      </c>
      <c r="E4" s="6">
        <v>189.69</v>
      </c>
      <c r="F4" s="2">
        <f t="shared" si="0"/>
        <v>1.0543933054393306</v>
      </c>
      <c r="G4" s="4">
        <v>0.69</v>
      </c>
      <c r="H4" s="5">
        <v>121.52</v>
      </c>
      <c r="I4" s="2">
        <f t="shared" si="1"/>
        <v>0.75223880597014925</v>
      </c>
      <c r="J4" s="2">
        <f t="shared" si="2"/>
        <v>0.29850746268656714</v>
      </c>
      <c r="K4" s="2">
        <f t="shared" si="3"/>
        <v>9.8507462686567168E-2</v>
      </c>
      <c r="L4" s="2">
        <f t="shared" si="4"/>
        <v>9.2537313432835819E-2</v>
      </c>
      <c r="M4" s="4">
        <v>0.125</v>
      </c>
      <c r="N4" s="10">
        <f t="shared" si="5"/>
        <v>5.9701492537313433E-3</v>
      </c>
      <c r="O4" s="1">
        <v>2</v>
      </c>
      <c r="P4" s="1">
        <v>27</v>
      </c>
      <c r="Q4" s="1">
        <v>252</v>
      </c>
      <c r="R4" s="1">
        <v>239</v>
      </c>
      <c r="S4" s="1">
        <v>100</v>
      </c>
      <c r="T4" s="1">
        <v>33</v>
      </c>
      <c r="U4" s="11">
        <v>31</v>
      </c>
    </row>
    <row r="5" spans="1:22" x14ac:dyDescent="0.25">
      <c r="A5" t="s">
        <v>21</v>
      </c>
      <c r="B5" s="9" t="s">
        <v>22</v>
      </c>
      <c r="C5" s="1">
        <v>289</v>
      </c>
      <c r="D5" s="2">
        <v>1.52</v>
      </c>
      <c r="E5" s="6">
        <v>357.85</v>
      </c>
      <c r="F5" s="2">
        <f t="shared" si="0"/>
        <v>1.6359649122807018</v>
      </c>
      <c r="G5" s="4">
        <v>0.81</v>
      </c>
      <c r="H5" s="5">
        <v>229.92</v>
      </c>
      <c r="I5" s="2">
        <f t="shared" si="1"/>
        <v>1.2906574394463668</v>
      </c>
      <c r="J5" s="2">
        <f t="shared" si="2"/>
        <v>0.31141868512110726</v>
      </c>
      <c r="K5" s="2">
        <f t="shared" si="3"/>
        <v>0.22491349480968859</v>
      </c>
      <c r="L5" s="2">
        <f t="shared" si="4"/>
        <v>0.10034602076124567</v>
      </c>
      <c r="M5" s="4">
        <v>0.25</v>
      </c>
      <c r="N5" s="10">
        <f t="shared" si="5"/>
        <v>2.4221453287197232E-2</v>
      </c>
      <c r="O5" s="1">
        <v>7</v>
      </c>
      <c r="P5" s="1">
        <v>36</v>
      </c>
      <c r="Q5" s="1">
        <v>373</v>
      </c>
      <c r="R5" s="1">
        <v>228</v>
      </c>
      <c r="S5" s="1">
        <v>90</v>
      </c>
      <c r="T5" s="1">
        <v>65</v>
      </c>
      <c r="U5" s="11">
        <v>29</v>
      </c>
      <c r="V5" s="1"/>
    </row>
    <row r="6" spans="1:22" x14ac:dyDescent="0.25">
      <c r="A6" t="s">
        <v>40</v>
      </c>
      <c r="B6" s="9" t="s">
        <v>26</v>
      </c>
      <c r="C6" s="1">
        <v>285</v>
      </c>
      <c r="D6" s="2">
        <v>0.93</v>
      </c>
      <c r="E6" s="6">
        <v>202.14</v>
      </c>
      <c r="F6" s="2">
        <f t="shared" si="0"/>
        <v>1.0235849056603774</v>
      </c>
      <c r="G6" s="4">
        <v>0.72499999999999998</v>
      </c>
      <c r="H6" s="5">
        <v>138.75</v>
      </c>
      <c r="I6" s="2">
        <f t="shared" si="1"/>
        <v>0.76140350877192986</v>
      </c>
      <c r="J6" s="2">
        <f t="shared" si="2"/>
        <v>0.17543859649122806</v>
      </c>
      <c r="K6" s="2">
        <f t="shared" si="3"/>
        <v>9.8245614035087719E-2</v>
      </c>
      <c r="L6" s="2">
        <f t="shared" si="4"/>
        <v>0.11578947368421053</v>
      </c>
      <c r="M6" s="4">
        <v>0.185</v>
      </c>
      <c r="N6" s="10">
        <f t="shared" si="5"/>
        <v>1.0526315789473684E-2</v>
      </c>
      <c r="O6" s="1">
        <v>3</v>
      </c>
      <c r="P6" s="1">
        <v>26</v>
      </c>
      <c r="Q6" s="1">
        <v>217</v>
      </c>
      <c r="R6" s="1">
        <v>212</v>
      </c>
      <c r="S6" s="1">
        <v>50</v>
      </c>
      <c r="T6" s="1">
        <v>28</v>
      </c>
      <c r="U6" s="11">
        <v>33</v>
      </c>
    </row>
    <row r="7" spans="1:22" x14ac:dyDescent="0.25">
      <c r="A7" t="s">
        <v>45</v>
      </c>
      <c r="B7" s="9" t="s">
        <v>28</v>
      </c>
      <c r="C7" s="1">
        <v>241</v>
      </c>
      <c r="D7" s="2">
        <v>0.85</v>
      </c>
      <c r="E7" s="6">
        <v>164.22</v>
      </c>
      <c r="F7" s="2">
        <f t="shared" si="0"/>
        <v>0.84023668639053251</v>
      </c>
      <c r="G7" s="4">
        <v>0.745</v>
      </c>
      <c r="H7" s="5">
        <v>104.13</v>
      </c>
      <c r="I7" s="2">
        <f t="shared" si="1"/>
        <v>0.58921161825726143</v>
      </c>
      <c r="J7" s="2">
        <f t="shared" si="2"/>
        <v>0.31950207468879666</v>
      </c>
      <c r="K7" s="2">
        <f t="shared" si="3"/>
        <v>6.6390041493775934E-2</v>
      </c>
      <c r="L7" s="2">
        <f t="shared" si="4"/>
        <v>0.1037344398340249</v>
      </c>
      <c r="M7" s="4">
        <v>0.19500000000000001</v>
      </c>
      <c r="N7" s="10">
        <f t="shared" si="5"/>
        <v>1.2448132780082987E-2</v>
      </c>
      <c r="O7" s="1">
        <v>3</v>
      </c>
      <c r="P7" s="1">
        <v>18</v>
      </c>
      <c r="Q7" s="1">
        <v>142</v>
      </c>
      <c r="R7" s="1">
        <v>169</v>
      </c>
      <c r="S7" s="1">
        <v>77</v>
      </c>
      <c r="T7" s="1">
        <v>16</v>
      </c>
      <c r="U7" s="11">
        <v>25</v>
      </c>
    </row>
    <row r="8" spans="1:22" x14ac:dyDescent="0.25">
      <c r="A8" t="s">
        <v>23</v>
      </c>
      <c r="B8" s="9" t="s">
        <v>24</v>
      </c>
      <c r="C8" s="1">
        <v>234</v>
      </c>
      <c r="D8" s="2">
        <v>1.23</v>
      </c>
      <c r="E8" s="6">
        <v>227.01</v>
      </c>
      <c r="F8" s="2">
        <f t="shared" si="0"/>
        <v>1.2165605095541401</v>
      </c>
      <c r="G8" s="4">
        <v>0.77499999999999991</v>
      </c>
      <c r="H8" s="5">
        <v>150.62</v>
      </c>
      <c r="I8" s="2">
        <f t="shared" si="1"/>
        <v>0.81623931623931623</v>
      </c>
      <c r="J8" s="2">
        <f t="shared" si="2"/>
        <v>0.32905982905982906</v>
      </c>
      <c r="K8" s="2">
        <f t="shared" si="3"/>
        <v>7.6923076923076927E-2</v>
      </c>
      <c r="L8" s="2">
        <f t="shared" si="4"/>
        <v>8.11965811965812E-2</v>
      </c>
      <c r="M8" s="4">
        <v>0.215</v>
      </c>
      <c r="N8" s="10">
        <f t="shared" si="5"/>
        <v>2.564102564102564E-2</v>
      </c>
      <c r="O8" s="1">
        <v>6</v>
      </c>
      <c r="P8" s="1">
        <v>32</v>
      </c>
      <c r="Q8" s="1">
        <v>191</v>
      </c>
      <c r="R8" s="1">
        <v>157</v>
      </c>
      <c r="S8" s="1">
        <v>77</v>
      </c>
      <c r="T8" s="1">
        <v>18</v>
      </c>
      <c r="U8" s="11">
        <v>19</v>
      </c>
    </row>
    <row r="9" spans="1:22" x14ac:dyDescent="0.25">
      <c r="A9" t="s">
        <v>42</v>
      </c>
      <c r="B9" s="9" t="s">
        <v>24</v>
      </c>
      <c r="C9" s="1">
        <v>234</v>
      </c>
      <c r="D9" s="2">
        <v>0.93</v>
      </c>
      <c r="E9" s="6">
        <v>179.94</v>
      </c>
      <c r="F9" s="2">
        <f t="shared" si="0"/>
        <v>0.75301204819277112</v>
      </c>
      <c r="G9" s="4">
        <v>0.65999999999999992</v>
      </c>
      <c r="H9" s="5">
        <v>115.2</v>
      </c>
      <c r="I9" s="2">
        <f t="shared" si="1"/>
        <v>0.53418803418803418</v>
      </c>
      <c r="J9" s="2">
        <f t="shared" si="2"/>
        <v>0.24786324786324787</v>
      </c>
      <c r="K9" s="2">
        <f t="shared" si="3"/>
        <v>6.4102564102564097E-2</v>
      </c>
      <c r="L9" s="2">
        <f t="shared" si="4"/>
        <v>7.2649572649572655E-2</v>
      </c>
      <c r="M9" s="4">
        <v>0.14499999999999999</v>
      </c>
      <c r="N9" s="10">
        <f t="shared" si="5"/>
        <v>1.7094017094017096E-2</v>
      </c>
      <c r="O9" s="1">
        <v>4</v>
      </c>
      <c r="P9" s="1">
        <v>22</v>
      </c>
      <c r="Q9" s="1">
        <v>125</v>
      </c>
      <c r="R9" s="1">
        <v>166</v>
      </c>
      <c r="S9" s="1">
        <v>58</v>
      </c>
      <c r="T9" s="1">
        <v>15</v>
      </c>
      <c r="U9" s="11">
        <v>17</v>
      </c>
    </row>
    <row r="10" spans="1:22" x14ac:dyDescent="0.25">
      <c r="A10" t="s">
        <v>33</v>
      </c>
      <c r="B10" s="9" t="s">
        <v>26</v>
      </c>
      <c r="C10" s="1">
        <v>232</v>
      </c>
      <c r="D10" s="2">
        <v>1.08</v>
      </c>
      <c r="E10" s="6">
        <v>199.73</v>
      </c>
      <c r="F10" s="2">
        <f t="shared" si="0"/>
        <v>1.1258741258741258</v>
      </c>
      <c r="G10" s="4">
        <v>0.72</v>
      </c>
      <c r="H10" s="5">
        <v>131.72999999999999</v>
      </c>
      <c r="I10" s="2">
        <f t="shared" si="1"/>
        <v>0.69396551724137934</v>
      </c>
      <c r="J10" s="2">
        <f t="shared" si="2"/>
        <v>0.30172413793103448</v>
      </c>
      <c r="K10" s="2">
        <f t="shared" si="3"/>
        <v>2.1551724137931036E-2</v>
      </c>
      <c r="L10" s="2">
        <f t="shared" si="4"/>
        <v>8.6206896551724144E-2</v>
      </c>
      <c r="M10" s="4">
        <v>0.2</v>
      </c>
      <c r="N10" s="10">
        <f t="shared" si="5"/>
        <v>1.7241379310344827E-2</v>
      </c>
      <c r="O10" s="1">
        <v>4</v>
      </c>
      <c r="P10" s="1">
        <v>21</v>
      </c>
      <c r="Q10" s="1">
        <v>161</v>
      </c>
      <c r="R10" s="1">
        <v>143</v>
      </c>
      <c r="S10" s="1">
        <v>70</v>
      </c>
      <c r="T10" s="1">
        <v>5</v>
      </c>
      <c r="U10" s="11">
        <v>20</v>
      </c>
    </row>
    <row r="11" spans="1:22" x14ac:dyDescent="0.25">
      <c r="A11" t="s">
        <v>36</v>
      </c>
      <c r="B11" s="9" t="s">
        <v>28</v>
      </c>
      <c r="C11" s="1">
        <v>218</v>
      </c>
      <c r="D11" s="2">
        <v>1.06</v>
      </c>
      <c r="E11" s="6">
        <v>212.47</v>
      </c>
      <c r="F11" s="2">
        <f t="shared" si="0"/>
        <v>0.96666666666666667</v>
      </c>
      <c r="G11" s="4">
        <v>0.8</v>
      </c>
      <c r="H11" s="5">
        <v>146.1</v>
      </c>
      <c r="I11" s="2">
        <f t="shared" si="1"/>
        <v>0.66513761467889909</v>
      </c>
      <c r="J11" s="2">
        <f t="shared" si="2"/>
        <v>0.37155963302752293</v>
      </c>
      <c r="K11" s="2">
        <f t="shared" si="3"/>
        <v>3.669724770642202E-2</v>
      </c>
      <c r="L11" s="2">
        <f t="shared" si="4"/>
        <v>5.5045871559633031E-2</v>
      </c>
      <c r="M11" s="4">
        <v>0.21</v>
      </c>
      <c r="N11" s="10">
        <f t="shared" si="5"/>
        <v>1.834862385321101E-2</v>
      </c>
      <c r="O11" s="1">
        <v>4</v>
      </c>
      <c r="P11" s="1">
        <v>23</v>
      </c>
      <c r="Q11" s="1">
        <v>145</v>
      </c>
      <c r="R11" s="1">
        <v>150</v>
      </c>
      <c r="S11" s="1">
        <v>81</v>
      </c>
      <c r="T11" s="1">
        <v>8</v>
      </c>
      <c r="U11" s="11">
        <v>12</v>
      </c>
    </row>
    <row r="12" spans="1:22" x14ac:dyDescent="0.25">
      <c r="A12" t="s">
        <v>35</v>
      </c>
      <c r="B12" s="9" t="s">
        <v>30</v>
      </c>
      <c r="C12" s="1">
        <v>201</v>
      </c>
      <c r="D12" s="2">
        <v>1.04</v>
      </c>
      <c r="E12" s="6">
        <v>238.03</v>
      </c>
      <c r="F12" s="2">
        <f t="shared" si="0"/>
        <v>1.0389610389610389</v>
      </c>
      <c r="G12" s="4">
        <v>0.71499999999999997</v>
      </c>
      <c r="H12" s="5">
        <v>155.06</v>
      </c>
      <c r="I12" s="2">
        <f t="shared" si="1"/>
        <v>0.79601990049751248</v>
      </c>
      <c r="J12" s="2">
        <f t="shared" si="2"/>
        <v>0.22885572139303484</v>
      </c>
      <c r="K12" s="2">
        <f t="shared" si="3"/>
        <v>0.14925373134328357</v>
      </c>
      <c r="L12" s="2">
        <f t="shared" si="4"/>
        <v>0.15422885572139303</v>
      </c>
      <c r="M12" s="4">
        <v>0.26500000000000001</v>
      </c>
      <c r="N12" s="10">
        <f t="shared" si="5"/>
        <v>4.9751243781094526E-3</v>
      </c>
      <c r="O12" s="1">
        <v>1</v>
      </c>
      <c r="P12" s="1">
        <v>25</v>
      </c>
      <c r="Q12" s="1">
        <v>160</v>
      </c>
      <c r="R12" s="1">
        <v>154</v>
      </c>
      <c r="S12" s="1">
        <v>46</v>
      </c>
      <c r="T12" s="1">
        <v>30</v>
      </c>
      <c r="U12" s="11">
        <v>31</v>
      </c>
    </row>
    <row r="13" spans="1:22" x14ac:dyDescent="0.25">
      <c r="A13" t="s">
        <v>27</v>
      </c>
      <c r="B13" s="9" t="s">
        <v>28</v>
      </c>
      <c r="C13" s="1">
        <v>191</v>
      </c>
      <c r="D13" s="2">
        <v>1.23</v>
      </c>
      <c r="E13" s="6">
        <v>283.8</v>
      </c>
      <c r="F13" s="2">
        <f t="shared" si="0"/>
        <v>1.2916666666666667</v>
      </c>
      <c r="G13" s="4">
        <v>0.77</v>
      </c>
      <c r="H13" s="5">
        <v>180.82</v>
      </c>
      <c r="I13" s="2">
        <f t="shared" si="1"/>
        <v>0.97382198952879584</v>
      </c>
      <c r="J13" s="2">
        <f t="shared" si="2"/>
        <v>0.29319371727748689</v>
      </c>
      <c r="K13" s="2">
        <f t="shared" si="3"/>
        <v>0.16753926701570682</v>
      </c>
      <c r="L13" s="2">
        <f t="shared" si="4"/>
        <v>0.14136125654450263</v>
      </c>
      <c r="M13" s="4">
        <v>0.21</v>
      </c>
      <c r="N13" s="10">
        <f t="shared" si="5"/>
        <v>2.6178010471204188E-2</v>
      </c>
      <c r="O13" s="1">
        <v>5</v>
      </c>
      <c r="P13" s="1">
        <v>27</v>
      </c>
      <c r="Q13" s="1">
        <v>186</v>
      </c>
      <c r="R13" s="1">
        <v>144</v>
      </c>
      <c r="S13" s="1">
        <v>56</v>
      </c>
      <c r="T13" s="1">
        <v>32</v>
      </c>
      <c r="U13" s="11">
        <v>27</v>
      </c>
    </row>
    <row r="14" spans="1:22" x14ac:dyDescent="0.25">
      <c r="A14" t="s">
        <v>32</v>
      </c>
      <c r="B14" s="9" t="s">
        <v>24</v>
      </c>
      <c r="C14" s="1">
        <v>189</v>
      </c>
      <c r="D14" s="2">
        <v>1.08</v>
      </c>
      <c r="E14" s="6">
        <v>217.48</v>
      </c>
      <c r="F14" s="2">
        <f t="shared" si="0"/>
        <v>1.0147058823529411</v>
      </c>
      <c r="G14" s="4">
        <v>0.71</v>
      </c>
      <c r="H14" s="5">
        <v>143.76</v>
      </c>
      <c r="I14" s="2">
        <f t="shared" si="1"/>
        <v>0.73015873015873012</v>
      </c>
      <c r="J14" s="2">
        <f t="shared" si="2"/>
        <v>0.32275132275132273</v>
      </c>
      <c r="K14" s="2">
        <f t="shared" si="3"/>
        <v>0.12698412698412698</v>
      </c>
      <c r="L14" s="2">
        <f t="shared" si="4"/>
        <v>5.8201058201058198E-2</v>
      </c>
      <c r="M14" s="4">
        <v>0.20499999999999999</v>
      </c>
      <c r="N14" s="10">
        <f t="shared" si="5"/>
        <v>1.0582010582010581E-2</v>
      </c>
      <c r="O14" s="1">
        <v>2</v>
      </c>
      <c r="P14" s="1">
        <v>24</v>
      </c>
      <c r="Q14" s="1">
        <v>138</v>
      </c>
      <c r="R14" s="1">
        <v>136</v>
      </c>
      <c r="S14" s="1">
        <v>61</v>
      </c>
      <c r="T14" s="1">
        <v>24</v>
      </c>
      <c r="U14" s="11">
        <v>11</v>
      </c>
    </row>
    <row r="15" spans="1:22" x14ac:dyDescent="0.25">
      <c r="A15" t="s">
        <v>25</v>
      </c>
      <c r="B15" s="9" t="s">
        <v>26</v>
      </c>
      <c r="C15" s="1">
        <v>187</v>
      </c>
      <c r="D15" s="2">
        <v>1.29</v>
      </c>
      <c r="E15" s="6">
        <v>287.68</v>
      </c>
      <c r="F15" s="2">
        <f t="shared" si="0"/>
        <v>1.4496124031007751</v>
      </c>
      <c r="G15" s="4">
        <v>0.755</v>
      </c>
      <c r="H15" s="5">
        <v>186.37</v>
      </c>
      <c r="I15" s="2">
        <f t="shared" si="1"/>
        <v>1</v>
      </c>
      <c r="J15" s="2">
        <f t="shared" si="2"/>
        <v>0.29411764705882354</v>
      </c>
      <c r="K15" s="2">
        <f t="shared" si="3"/>
        <v>0.22459893048128343</v>
      </c>
      <c r="L15" s="2">
        <f t="shared" si="4"/>
        <v>0.10160427807486631</v>
      </c>
      <c r="M15" s="4">
        <v>0.215</v>
      </c>
      <c r="N15" s="10">
        <f t="shared" si="5"/>
        <v>2.1390374331550801E-2</v>
      </c>
      <c r="O15" s="1">
        <v>4</v>
      </c>
      <c r="P15" s="1">
        <v>28</v>
      </c>
      <c r="Q15" s="1">
        <v>187</v>
      </c>
      <c r="R15" s="1">
        <v>129</v>
      </c>
      <c r="S15" s="1">
        <v>55</v>
      </c>
      <c r="T15" s="1">
        <v>42</v>
      </c>
      <c r="U15" s="11">
        <v>19</v>
      </c>
    </row>
    <row r="16" spans="1:22" x14ac:dyDescent="0.25">
      <c r="A16" t="s">
        <v>34</v>
      </c>
      <c r="B16" s="9" t="s">
        <v>24</v>
      </c>
      <c r="C16" s="1">
        <v>184</v>
      </c>
      <c r="D16" s="2">
        <v>1.05</v>
      </c>
      <c r="E16" s="6">
        <v>232.35</v>
      </c>
      <c r="F16" s="2">
        <f t="shared" si="0"/>
        <v>1.0709219858156029</v>
      </c>
      <c r="G16" s="4">
        <v>0.67500000000000004</v>
      </c>
      <c r="H16" s="5">
        <v>147.5</v>
      </c>
      <c r="I16" s="2">
        <f t="shared" si="1"/>
        <v>0.82065217391304346</v>
      </c>
      <c r="J16" s="2">
        <f t="shared" si="2"/>
        <v>0.27717391304347827</v>
      </c>
      <c r="K16" s="2">
        <f t="shared" si="3"/>
        <v>0.16847826086956522</v>
      </c>
      <c r="L16" s="2">
        <f t="shared" si="4"/>
        <v>0.2608695652173913</v>
      </c>
      <c r="M16" s="4">
        <v>0.21</v>
      </c>
      <c r="N16" s="10">
        <f t="shared" si="5"/>
        <v>0</v>
      </c>
      <c r="O16" s="1">
        <v>0</v>
      </c>
      <c r="P16" s="1">
        <v>23</v>
      </c>
      <c r="Q16" s="1">
        <v>151</v>
      </c>
      <c r="R16" s="1">
        <v>141</v>
      </c>
      <c r="S16" s="1">
        <v>51</v>
      </c>
      <c r="T16" s="1">
        <v>31</v>
      </c>
      <c r="U16" s="11">
        <v>48</v>
      </c>
    </row>
    <row r="17" spans="1:21" x14ac:dyDescent="0.25">
      <c r="A17" t="s">
        <v>31</v>
      </c>
      <c r="B17" s="9" t="s">
        <v>30</v>
      </c>
      <c r="C17" s="1">
        <v>183</v>
      </c>
      <c r="D17" s="2">
        <v>1.1499999999999999</v>
      </c>
      <c r="E17" s="6">
        <v>261.22000000000003</v>
      </c>
      <c r="F17" s="2">
        <f t="shared" si="0"/>
        <v>1.2388059701492538</v>
      </c>
      <c r="G17" s="4">
        <v>0.75</v>
      </c>
      <c r="H17" s="5">
        <v>157.19999999999999</v>
      </c>
      <c r="I17" s="2">
        <f t="shared" si="1"/>
        <v>0.90710382513661203</v>
      </c>
      <c r="J17" s="2">
        <f t="shared" si="2"/>
        <v>0.26229508196721313</v>
      </c>
      <c r="K17" s="2">
        <f t="shared" si="3"/>
        <v>0.11475409836065574</v>
      </c>
      <c r="L17" s="2">
        <f t="shared" si="4"/>
        <v>8.7431693989071038E-2</v>
      </c>
      <c r="M17" s="4">
        <v>0.19500000000000001</v>
      </c>
      <c r="N17" s="10">
        <f t="shared" si="5"/>
        <v>1.6393442622950821E-2</v>
      </c>
      <c r="O17" s="1">
        <v>3</v>
      </c>
      <c r="P17" s="1">
        <v>30</v>
      </c>
      <c r="Q17" s="1">
        <v>166</v>
      </c>
      <c r="R17" s="1">
        <v>134</v>
      </c>
      <c r="S17" s="1">
        <v>48</v>
      </c>
      <c r="T17" s="1">
        <v>21</v>
      </c>
      <c r="U17" s="11">
        <v>16</v>
      </c>
    </row>
    <row r="18" spans="1:21" x14ac:dyDescent="0.25">
      <c r="A18" t="s">
        <v>29</v>
      </c>
      <c r="B18" s="9" t="s">
        <v>30</v>
      </c>
      <c r="C18" s="1">
        <v>156</v>
      </c>
      <c r="D18" s="2">
        <v>1.1599999999999999</v>
      </c>
      <c r="E18" s="6">
        <v>257.76</v>
      </c>
      <c r="F18" s="2">
        <f t="shared" si="0"/>
        <v>1.1981981981981982</v>
      </c>
      <c r="G18" s="4">
        <v>0.73</v>
      </c>
      <c r="H18" s="5">
        <v>160.9</v>
      </c>
      <c r="I18" s="2">
        <f t="shared" si="1"/>
        <v>0.85256410256410253</v>
      </c>
      <c r="J18" s="2">
        <f t="shared" si="2"/>
        <v>0.26282051282051283</v>
      </c>
      <c r="K18" s="2">
        <f t="shared" si="3"/>
        <v>0.1858974358974359</v>
      </c>
      <c r="L18" s="2">
        <f t="shared" si="4"/>
        <v>9.6153846153846159E-2</v>
      </c>
      <c r="M18" s="4">
        <v>0.1</v>
      </c>
      <c r="N18" s="10">
        <f t="shared" si="5"/>
        <v>1.9230769230769232E-2</v>
      </c>
      <c r="O18" s="1">
        <v>3</v>
      </c>
      <c r="P18" s="1">
        <v>26</v>
      </c>
      <c r="Q18" s="1">
        <v>133</v>
      </c>
      <c r="R18" s="1">
        <v>111</v>
      </c>
      <c r="S18" s="1">
        <v>41</v>
      </c>
      <c r="T18" s="1">
        <v>29</v>
      </c>
      <c r="U18" s="11">
        <v>15</v>
      </c>
    </row>
    <row r="19" spans="1:21" x14ac:dyDescent="0.25">
      <c r="A19" t="s">
        <v>41</v>
      </c>
      <c r="B19" s="9" t="s">
        <v>30</v>
      </c>
      <c r="C19" s="1">
        <v>156</v>
      </c>
      <c r="D19" s="2">
        <v>0.94</v>
      </c>
      <c r="E19" s="6">
        <v>183.03</v>
      </c>
      <c r="F19" s="2">
        <f t="shared" si="0"/>
        <v>0.96296296296296291</v>
      </c>
      <c r="G19" s="4">
        <v>0.7</v>
      </c>
      <c r="H19" s="5">
        <v>117.19</v>
      </c>
      <c r="I19" s="2">
        <f t="shared" si="1"/>
        <v>0.66666666666666663</v>
      </c>
      <c r="J19" s="2">
        <f t="shared" si="2"/>
        <v>0.19230769230769232</v>
      </c>
      <c r="K19" s="2">
        <f t="shared" si="3"/>
        <v>4.4871794871794872E-2</v>
      </c>
      <c r="L19" s="2">
        <f t="shared" si="4"/>
        <v>8.3333333333333329E-2</v>
      </c>
      <c r="M19" s="4">
        <v>0.17</v>
      </c>
      <c r="N19" s="10">
        <f t="shared" si="5"/>
        <v>1.9230769230769232E-2</v>
      </c>
      <c r="O19" s="1">
        <v>3</v>
      </c>
      <c r="P19" s="1">
        <v>22</v>
      </c>
      <c r="Q19" s="1">
        <v>104</v>
      </c>
      <c r="R19" s="1">
        <v>108</v>
      </c>
      <c r="S19" s="1">
        <v>30</v>
      </c>
      <c r="T19" s="1">
        <v>7</v>
      </c>
      <c r="U19" s="11">
        <v>13</v>
      </c>
    </row>
    <row r="20" spans="1:21" x14ac:dyDescent="0.25">
      <c r="A20" t="s">
        <v>44</v>
      </c>
      <c r="B20" s="9" t="s">
        <v>28</v>
      </c>
      <c r="C20" s="1">
        <v>152</v>
      </c>
      <c r="D20" s="2">
        <v>0.88</v>
      </c>
      <c r="E20" s="6">
        <v>188.33</v>
      </c>
      <c r="F20" s="2">
        <f t="shared" si="0"/>
        <v>0.95327102803738317</v>
      </c>
      <c r="G20" s="4">
        <v>0.7</v>
      </c>
      <c r="H20" s="5">
        <v>118.64</v>
      </c>
      <c r="I20" s="2">
        <f t="shared" si="1"/>
        <v>0.67105263157894735</v>
      </c>
      <c r="J20" s="2">
        <f t="shared" si="2"/>
        <v>0.17105263157894737</v>
      </c>
      <c r="K20" s="2">
        <f t="shared" si="3"/>
        <v>0.15789473684210525</v>
      </c>
      <c r="L20" s="2">
        <f t="shared" si="4"/>
        <v>0.14473684210526316</v>
      </c>
      <c r="M20" s="4">
        <v>0.215</v>
      </c>
      <c r="N20" s="10">
        <f t="shared" si="5"/>
        <v>1.3157894736842105E-2</v>
      </c>
      <c r="O20" s="1">
        <v>2</v>
      </c>
      <c r="P20" s="1">
        <v>19</v>
      </c>
      <c r="Q20" s="1">
        <v>102</v>
      </c>
      <c r="R20" s="1">
        <v>107</v>
      </c>
      <c r="S20" s="1">
        <v>26</v>
      </c>
      <c r="T20" s="1">
        <v>24</v>
      </c>
      <c r="U20" s="11">
        <v>22</v>
      </c>
    </row>
    <row r="21" spans="1:21" x14ac:dyDescent="0.25">
      <c r="A21" t="s">
        <v>37</v>
      </c>
      <c r="B21" s="9" t="s">
        <v>28</v>
      </c>
      <c r="C21" s="1">
        <v>147</v>
      </c>
      <c r="D21" s="2">
        <v>0.89</v>
      </c>
      <c r="E21" s="6">
        <v>161.25</v>
      </c>
      <c r="F21" s="2">
        <f t="shared" si="0"/>
        <v>1</v>
      </c>
      <c r="G21" s="4">
        <v>0.7</v>
      </c>
      <c r="H21" s="5">
        <v>97.69</v>
      </c>
      <c r="I21" s="2">
        <f t="shared" si="1"/>
        <v>0.59183673469387754</v>
      </c>
      <c r="J21" s="2">
        <f t="shared" si="2"/>
        <v>0.35374149659863946</v>
      </c>
      <c r="K21" s="2">
        <f t="shared" si="3"/>
        <v>6.1224489795918366E-2</v>
      </c>
      <c r="L21" s="2">
        <f t="shared" si="4"/>
        <v>6.8027210884353748E-2</v>
      </c>
      <c r="M21" s="4">
        <v>0.23</v>
      </c>
      <c r="N21" s="10">
        <f t="shared" si="5"/>
        <v>2.0408163265306121E-2</v>
      </c>
      <c r="O21" s="1">
        <v>3</v>
      </c>
      <c r="P21" s="1">
        <v>18</v>
      </c>
      <c r="Q21" s="1">
        <v>87</v>
      </c>
      <c r="R21" s="1">
        <v>87</v>
      </c>
      <c r="S21" s="1">
        <v>52</v>
      </c>
      <c r="T21" s="1">
        <v>9</v>
      </c>
      <c r="U21" s="11">
        <v>10</v>
      </c>
    </row>
    <row r="22" spans="1:21" x14ac:dyDescent="0.25">
      <c r="A22" t="s">
        <v>48</v>
      </c>
      <c r="B22" s="9" t="s">
        <v>30</v>
      </c>
      <c r="C22" s="1">
        <v>109</v>
      </c>
      <c r="D22" s="2">
        <v>0.63</v>
      </c>
      <c r="E22" s="6">
        <v>93.3</v>
      </c>
      <c r="F22" s="2">
        <f t="shared" si="0"/>
        <v>0.4050632911392405</v>
      </c>
      <c r="G22" s="4">
        <v>0.67500000000000004</v>
      </c>
      <c r="H22" s="5">
        <v>75.87</v>
      </c>
      <c r="I22" s="2">
        <f t="shared" si="1"/>
        <v>0.29357798165137616</v>
      </c>
      <c r="J22" s="2">
        <f t="shared" si="2"/>
        <v>0.39449541284403672</v>
      </c>
      <c r="K22" s="2">
        <f t="shared" si="3"/>
        <v>2.7522935779816515E-2</v>
      </c>
      <c r="L22" s="2">
        <f t="shared" si="4"/>
        <v>9.1743119266055051E-3</v>
      </c>
      <c r="M22" s="4">
        <v>0.27500000000000002</v>
      </c>
      <c r="N22" s="10">
        <f t="shared" si="5"/>
        <v>9.1743119266055051E-3</v>
      </c>
      <c r="O22" s="1">
        <v>1</v>
      </c>
      <c r="P22" s="1">
        <v>9</v>
      </c>
      <c r="Q22" s="1">
        <v>32</v>
      </c>
      <c r="R22" s="1">
        <v>79</v>
      </c>
      <c r="S22" s="1">
        <v>43</v>
      </c>
      <c r="T22" s="1">
        <v>3</v>
      </c>
      <c r="U22" s="11">
        <v>1</v>
      </c>
    </row>
    <row r="23" spans="1:21" x14ac:dyDescent="0.25">
      <c r="A23" t="s">
        <v>39</v>
      </c>
      <c r="B23" s="9" t="s">
        <v>24</v>
      </c>
      <c r="C23" s="1">
        <v>90</v>
      </c>
      <c r="D23" s="2">
        <v>0.97</v>
      </c>
      <c r="E23" s="6">
        <v>180.3</v>
      </c>
      <c r="F23" s="2">
        <f t="shared" si="0"/>
        <v>0.98333333333333328</v>
      </c>
      <c r="G23" s="4">
        <v>0.66999999999999993</v>
      </c>
      <c r="H23" s="5">
        <v>122.49</v>
      </c>
      <c r="I23" s="2">
        <f t="shared" si="1"/>
        <v>0.65555555555555556</v>
      </c>
      <c r="J23" s="2">
        <f t="shared" si="2"/>
        <v>0.23333333333333334</v>
      </c>
      <c r="K23" s="2">
        <f t="shared" si="3"/>
        <v>5.5555555555555552E-2</v>
      </c>
      <c r="L23" s="2">
        <f t="shared" si="4"/>
        <v>0.12222222222222222</v>
      </c>
      <c r="M23" s="4">
        <v>0.21</v>
      </c>
      <c r="N23" s="10">
        <f t="shared" si="5"/>
        <v>2.2222222222222223E-2</v>
      </c>
      <c r="O23" s="1">
        <v>2</v>
      </c>
      <c r="P23" s="1">
        <v>17</v>
      </c>
      <c r="Q23" s="1">
        <v>59</v>
      </c>
      <c r="R23" s="1">
        <v>60</v>
      </c>
      <c r="S23" s="1">
        <v>21</v>
      </c>
      <c r="T23" s="1">
        <v>5</v>
      </c>
      <c r="U23" s="11">
        <v>11</v>
      </c>
    </row>
    <row r="24" spans="1:21" x14ac:dyDescent="0.25">
      <c r="A24" t="s">
        <v>38</v>
      </c>
      <c r="B24" s="9" t="s">
        <v>26</v>
      </c>
      <c r="C24" s="1">
        <v>65</v>
      </c>
      <c r="D24" s="2">
        <v>0.99</v>
      </c>
      <c r="E24" s="6">
        <v>249.94</v>
      </c>
      <c r="F24" s="2">
        <f t="shared" si="0"/>
        <v>0.93220338983050843</v>
      </c>
      <c r="G24" s="4">
        <v>0.75</v>
      </c>
      <c r="H24" s="5">
        <v>163.88</v>
      </c>
      <c r="I24" s="2">
        <f t="shared" si="1"/>
        <v>0.84615384615384615</v>
      </c>
      <c r="J24" s="2">
        <f t="shared" si="2"/>
        <v>0.24615384615384617</v>
      </c>
      <c r="K24" s="2">
        <f t="shared" si="3"/>
        <v>0.2</v>
      </c>
      <c r="L24" s="2">
        <f t="shared" si="4"/>
        <v>0.24615384615384617</v>
      </c>
      <c r="M24" s="4">
        <v>0.21</v>
      </c>
      <c r="N24" s="10">
        <f t="shared" si="5"/>
        <v>1.5384615384615385E-2</v>
      </c>
      <c r="O24" s="1">
        <v>1</v>
      </c>
      <c r="P24" s="1">
        <v>36</v>
      </c>
      <c r="Q24" s="1">
        <v>55</v>
      </c>
      <c r="R24" s="1">
        <v>59</v>
      </c>
      <c r="S24" s="1">
        <v>16</v>
      </c>
      <c r="T24" s="1">
        <v>13</v>
      </c>
      <c r="U24" s="11">
        <v>16</v>
      </c>
    </row>
    <row r="25" spans="1:21" x14ac:dyDescent="0.25">
      <c r="A25" t="s">
        <v>50</v>
      </c>
      <c r="B25" s="9" t="s">
        <v>30</v>
      </c>
      <c r="C25" s="1">
        <v>42</v>
      </c>
      <c r="D25" s="2">
        <v>0.3</v>
      </c>
      <c r="E25" s="6">
        <v>85.9</v>
      </c>
      <c r="F25" s="2">
        <f t="shared" si="0"/>
        <v>0.28947368421052633</v>
      </c>
      <c r="G25" s="4">
        <v>0.43</v>
      </c>
      <c r="H25" s="5">
        <v>59.64</v>
      </c>
      <c r="I25" s="2">
        <f t="shared" si="1"/>
        <v>0.26190476190476192</v>
      </c>
      <c r="J25" s="2">
        <f t="shared" si="2"/>
        <v>0.21428571428571427</v>
      </c>
      <c r="K25" s="2">
        <f t="shared" si="3"/>
        <v>2.3809523809523808E-2</v>
      </c>
      <c r="L25" s="2">
        <f t="shared" si="4"/>
        <v>0.16666666666666666</v>
      </c>
      <c r="M25" s="4">
        <v>0.11</v>
      </c>
      <c r="N25" s="10">
        <f t="shared" si="5"/>
        <v>0</v>
      </c>
      <c r="O25" s="1">
        <v>0</v>
      </c>
      <c r="P25" s="1">
        <v>6</v>
      </c>
      <c r="Q25" s="1">
        <v>11</v>
      </c>
      <c r="R25" s="1">
        <v>38</v>
      </c>
      <c r="S25" s="1">
        <v>9</v>
      </c>
      <c r="T25" s="1">
        <v>1</v>
      </c>
      <c r="U25" s="11">
        <v>7</v>
      </c>
    </row>
    <row r="26" spans="1:21" x14ac:dyDescent="0.25">
      <c r="A26" s="12" t="s">
        <v>47</v>
      </c>
      <c r="B26" s="13" t="s">
        <v>26</v>
      </c>
      <c r="C26" s="14">
        <v>16</v>
      </c>
      <c r="D26" s="15">
        <v>0.78</v>
      </c>
      <c r="E26" s="16">
        <v>233</v>
      </c>
      <c r="F26" s="15">
        <f t="shared" si="0"/>
        <v>0.75</v>
      </c>
      <c r="G26" s="21">
        <v>0.69</v>
      </c>
      <c r="H26" s="18">
        <v>132.6</v>
      </c>
      <c r="I26" s="15">
        <f t="shared" si="1"/>
        <v>0.75</v>
      </c>
      <c r="J26" s="15">
        <f t="shared" si="2"/>
        <v>0.375</v>
      </c>
      <c r="K26" s="15">
        <f t="shared" si="3"/>
        <v>0.3125</v>
      </c>
      <c r="L26" s="15">
        <f t="shared" si="4"/>
        <v>0.1875</v>
      </c>
      <c r="M26" s="21">
        <v>0.15</v>
      </c>
      <c r="N26" s="19">
        <f t="shared" si="5"/>
        <v>0</v>
      </c>
      <c r="O26" s="14">
        <v>0</v>
      </c>
      <c r="P26" s="14">
        <v>12</v>
      </c>
      <c r="Q26" s="14">
        <v>12</v>
      </c>
      <c r="R26" s="14">
        <v>16</v>
      </c>
      <c r="S26" s="14">
        <v>6</v>
      </c>
      <c r="T26" s="14">
        <v>5</v>
      </c>
      <c r="U26" s="20">
        <v>3</v>
      </c>
    </row>
    <row r="28" spans="1:21" x14ac:dyDescent="0.25">
      <c r="A28" t="s">
        <v>51</v>
      </c>
    </row>
  </sheetData>
  <autoFilter ref="A1:U26" xr:uid="{00000000-0009-0000-0000-000000000000}">
    <sortState xmlns:xlrd2="http://schemas.microsoft.com/office/spreadsheetml/2017/richdata2" ref="A2:U26">
      <sortCondition descending="1" ref="C1"/>
    </sortState>
  </autoFilter>
  <conditionalFormatting sqref="C2:C26">
    <cfRule type="top10" dxfId="24" priority="84" rank="1"/>
  </conditionalFormatting>
  <conditionalFormatting sqref="D2:D26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7">
      <colorScale>
        <cfvo type="min"/>
        <cfvo type="max"/>
        <color rgb="FFFFEF9C"/>
        <color rgb="FF63BE7B"/>
      </colorScale>
    </cfRule>
  </conditionalFormatting>
  <conditionalFormatting sqref="E2:E26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1">
      <colorScale>
        <cfvo type="min"/>
        <cfvo type="max"/>
        <color rgb="FFFFEF9C"/>
        <color rgb="FF63BE7B"/>
      </colorScale>
    </cfRule>
  </conditionalFormatting>
  <conditionalFormatting sqref="F2:F26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5">
      <colorScale>
        <cfvo type="min"/>
        <cfvo type="max"/>
        <color rgb="FFFFEF9C"/>
        <color rgb="FF63BE7B"/>
      </colorScale>
    </cfRule>
  </conditionalFormatting>
  <conditionalFormatting sqref="G2:G26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9">
      <colorScale>
        <cfvo type="min"/>
        <cfvo type="max"/>
        <color rgb="FFFFEF9C"/>
        <color rgb="FF63BE7B"/>
      </colorScale>
    </cfRule>
  </conditionalFormatting>
  <conditionalFormatting sqref="H2:H26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6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26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6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2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26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26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26">
    <cfRule type="top10" dxfId="23" priority="116" rank="1"/>
  </conditionalFormatting>
  <conditionalFormatting sqref="P2:P26">
    <cfRule type="top10" dxfId="22" priority="118" rank="1"/>
  </conditionalFormatting>
  <conditionalFormatting sqref="Q2:Q26">
    <cfRule type="top10" dxfId="21" priority="120" rank="1"/>
  </conditionalFormatting>
  <conditionalFormatting sqref="R2:R26">
    <cfRule type="top10" dxfId="20" priority="122" bottom="1" rank="1"/>
  </conditionalFormatting>
  <conditionalFormatting sqref="S2:S26">
    <cfRule type="top10" dxfId="19" priority="124" rank="1"/>
  </conditionalFormatting>
  <conditionalFormatting sqref="T2:T26">
    <cfRule type="top10" dxfId="18" priority="126" rank="1"/>
  </conditionalFormatting>
  <conditionalFormatting sqref="U2:U26">
    <cfRule type="top10" dxfId="17" priority="128" bottom="1" rank="1"/>
  </conditionalFormatting>
  <conditionalFormatting sqref="V5">
    <cfRule type="top10" dxfId="16" priority="23" bottom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6"/>
  <sheetViews>
    <sheetView workbookViewId="0">
      <selection activeCell="D32" sqref="D32"/>
    </sheetView>
  </sheetViews>
  <sheetFormatPr defaultRowHeight="15" x14ac:dyDescent="0.25"/>
  <cols>
    <col min="1" max="1" width="13.140625" bestFit="1" customWidth="1"/>
    <col min="2" max="2" width="10.42578125" bestFit="1" customWidth="1"/>
    <col min="3" max="3" width="12.42578125" bestFit="1" customWidth="1"/>
    <col min="4" max="4" width="9.42578125" bestFit="1" customWidth="1"/>
    <col min="5" max="5" width="9.28515625" bestFit="1" customWidth="1"/>
    <col min="6" max="6" width="8.7109375" bestFit="1" customWidth="1"/>
    <col min="7" max="7" width="10" bestFit="1" customWidth="1"/>
    <col min="8" max="8" width="9.42578125" bestFit="1" customWidth="1"/>
    <col min="9" max="9" width="9.140625" bestFit="1" customWidth="1"/>
    <col min="11" max="11" width="10.140625" bestFit="1" customWidth="1"/>
    <col min="12" max="12" width="10.42578125" bestFit="1" customWidth="1"/>
    <col min="13" max="13" width="9.7109375" bestFit="1" customWidth="1"/>
    <col min="14" max="14" width="9.5703125" bestFit="1" customWidth="1"/>
    <col min="15" max="15" width="8" bestFit="1" customWidth="1"/>
    <col min="16" max="16" width="10.5703125" bestFit="1" customWidth="1"/>
  </cols>
  <sheetData>
    <row r="1" spans="1:21" x14ac:dyDescent="0.25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8" t="s">
        <v>20</v>
      </c>
    </row>
    <row r="2" spans="1:21" x14ac:dyDescent="0.25">
      <c r="A2" t="s">
        <v>21</v>
      </c>
      <c r="B2" s="9" t="s">
        <v>22</v>
      </c>
      <c r="C2" s="1">
        <v>64</v>
      </c>
      <c r="D2" s="2">
        <v>1.53</v>
      </c>
      <c r="E2" s="6">
        <v>345.25</v>
      </c>
      <c r="F2" s="2">
        <f t="shared" ref="F2:F24" si="0">Q2/R2</f>
        <v>1.6808510638297873</v>
      </c>
      <c r="G2" s="4">
        <v>0.81</v>
      </c>
      <c r="H2" s="5">
        <v>224.34</v>
      </c>
      <c r="I2" s="2">
        <f t="shared" ref="I2:I24" si="1">Q2/C2</f>
        <v>1.234375</v>
      </c>
      <c r="J2" s="2">
        <f t="shared" ref="J2:J24" si="2">S2/C2</f>
        <v>0.296875</v>
      </c>
      <c r="K2" s="2">
        <f t="shared" ref="K2:K24" si="3">T2/C2</f>
        <v>0.125</v>
      </c>
      <c r="L2" s="2">
        <f t="shared" ref="L2:L24" si="4">U2/C2</f>
        <v>6.25E-2</v>
      </c>
      <c r="M2" s="4">
        <v>0.25</v>
      </c>
      <c r="N2" s="10">
        <f t="shared" ref="N2:N24" si="5">O2/C2</f>
        <v>1.5625E-2</v>
      </c>
      <c r="O2" s="1">
        <v>1</v>
      </c>
      <c r="P2" s="1">
        <v>32</v>
      </c>
      <c r="Q2" s="1">
        <v>79</v>
      </c>
      <c r="R2" s="1">
        <v>47</v>
      </c>
      <c r="S2" s="1">
        <v>19</v>
      </c>
      <c r="T2" s="1">
        <v>8</v>
      </c>
      <c r="U2" s="11">
        <v>4</v>
      </c>
    </row>
    <row r="3" spans="1:21" x14ac:dyDescent="0.25">
      <c r="A3" t="s">
        <v>23</v>
      </c>
      <c r="B3" s="9" t="s">
        <v>24</v>
      </c>
      <c r="C3" s="1">
        <v>40</v>
      </c>
      <c r="D3" s="2">
        <v>1.34</v>
      </c>
      <c r="E3" s="6">
        <v>224.4</v>
      </c>
      <c r="F3" s="2">
        <f t="shared" si="0"/>
        <v>1.4782608695652173</v>
      </c>
      <c r="G3" s="3">
        <v>0.85</v>
      </c>
      <c r="H3" s="5">
        <v>146.47999999999999</v>
      </c>
      <c r="I3" s="2">
        <f t="shared" si="1"/>
        <v>0.85</v>
      </c>
      <c r="J3" s="2">
        <f t="shared" si="2"/>
        <v>0.57499999999999996</v>
      </c>
      <c r="K3" s="2">
        <f t="shared" si="3"/>
        <v>0.05</v>
      </c>
      <c r="L3" s="2">
        <f t="shared" si="4"/>
        <v>2.5000000000000001E-2</v>
      </c>
      <c r="M3" s="3">
        <v>0.19</v>
      </c>
      <c r="N3" s="10">
        <f t="shared" si="5"/>
        <v>0</v>
      </c>
      <c r="O3" s="1">
        <v>0</v>
      </c>
      <c r="P3" s="1">
        <v>18</v>
      </c>
      <c r="Q3" s="1">
        <v>34</v>
      </c>
      <c r="R3" s="1">
        <v>23</v>
      </c>
      <c r="S3" s="1">
        <v>23</v>
      </c>
      <c r="T3" s="1">
        <v>2</v>
      </c>
      <c r="U3" s="11">
        <v>1</v>
      </c>
    </row>
    <row r="4" spans="1:21" x14ac:dyDescent="0.25">
      <c r="A4" t="s">
        <v>29</v>
      </c>
      <c r="B4" s="9" t="s">
        <v>30</v>
      </c>
      <c r="C4" s="1">
        <v>64</v>
      </c>
      <c r="D4" s="2">
        <v>1.27</v>
      </c>
      <c r="E4" s="6">
        <v>286.41000000000003</v>
      </c>
      <c r="F4" s="2">
        <f t="shared" si="0"/>
        <v>1.4</v>
      </c>
      <c r="G4" s="3">
        <v>0.8</v>
      </c>
      <c r="H4" s="5">
        <v>170.86</v>
      </c>
      <c r="I4" s="2">
        <f t="shared" si="1"/>
        <v>0.984375</v>
      </c>
      <c r="J4" s="2">
        <f t="shared" si="2"/>
        <v>0.25</v>
      </c>
      <c r="K4" s="2">
        <f t="shared" si="3"/>
        <v>0.234375</v>
      </c>
      <c r="L4" s="2">
        <f t="shared" si="4"/>
        <v>6.25E-2</v>
      </c>
      <c r="M4" s="3">
        <v>0.09</v>
      </c>
      <c r="N4" s="10">
        <f t="shared" si="5"/>
        <v>0</v>
      </c>
      <c r="O4" s="1">
        <v>0</v>
      </c>
      <c r="P4" s="1">
        <v>26</v>
      </c>
      <c r="Q4" s="1">
        <v>63</v>
      </c>
      <c r="R4" s="1">
        <v>45</v>
      </c>
      <c r="S4" s="1">
        <v>16</v>
      </c>
      <c r="T4" s="1">
        <v>15</v>
      </c>
      <c r="U4" s="11">
        <v>4</v>
      </c>
    </row>
    <row r="5" spans="1:21" x14ac:dyDescent="0.25">
      <c r="A5" t="s">
        <v>27</v>
      </c>
      <c r="B5" s="9" t="s">
        <v>28</v>
      </c>
      <c r="C5" s="1">
        <v>42</v>
      </c>
      <c r="D5" s="1">
        <v>1.24</v>
      </c>
      <c r="E5" s="6">
        <v>287.43</v>
      </c>
      <c r="F5" s="2">
        <f t="shared" si="0"/>
        <v>1.3333333333333333</v>
      </c>
      <c r="G5" s="4">
        <v>0.78</v>
      </c>
      <c r="H5" s="5">
        <v>181.87</v>
      </c>
      <c r="I5" s="2">
        <f t="shared" si="1"/>
        <v>1.0476190476190477</v>
      </c>
      <c r="J5" s="2">
        <f t="shared" si="2"/>
        <v>0.16666666666666666</v>
      </c>
      <c r="K5" s="2">
        <f t="shared" si="3"/>
        <v>9.5238095238095233E-2</v>
      </c>
      <c r="L5" s="2">
        <f t="shared" si="4"/>
        <v>0.14285714285714285</v>
      </c>
      <c r="M5" s="4">
        <v>0.21</v>
      </c>
      <c r="N5" s="10">
        <f t="shared" si="5"/>
        <v>4.7619047619047616E-2</v>
      </c>
      <c r="O5" s="1">
        <v>2</v>
      </c>
      <c r="P5" s="1">
        <v>27</v>
      </c>
      <c r="Q5" s="1">
        <v>44</v>
      </c>
      <c r="R5" s="1">
        <v>33</v>
      </c>
      <c r="S5" s="1">
        <v>7</v>
      </c>
      <c r="T5" s="1">
        <v>4</v>
      </c>
      <c r="U5" s="11">
        <v>6</v>
      </c>
    </row>
    <row r="6" spans="1:21" x14ac:dyDescent="0.25">
      <c r="A6" t="s">
        <v>25</v>
      </c>
      <c r="B6" s="9" t="s">
        <v>26</v>
      </c>
      <c r="C6" s="1">
        <v>46</v>
      </c>
      <c r="D6" s="1">
        <v>1.22</v>
      </c>
      <c r="E6" s="6">
        <v>279.22000000000003</v>
      </c>
      <c r="F6" s="2">
        <f t="shared" si="0"/>
        <v>1.2285714285714286</v>
      </c>
      <c r="G6" s="4">
        <v>0.74</v>
      </c>
      <c r="H6" s="5">
        <v>183.35</v>
      </c>
      <c r="I6" s="2">
        <f t="shared" si="1"/>
        <v>0.93478260869565222</v>
      </c>
      <c r="J6" s="2">
        <f t="shared" si="2"/>
        <v>0.30434782608695654</v>
      </c>
      <c r="K6" s="2">
        <f t="shared" si="3"/>
        <v>0.21739130434782608</v>
      </c>
      <c r="L6" s="2">
        <f t="shared" si="4"/>
        <v>0.19565217391304349</v>
      </c>
      <c r="M6" s="4">
        <v>0.21</v>
      </c>
      <c r="N6" s="10">
        <f t="shared" si="5"/>
        <v>0</v>
      </c>
      <c r="O6" s="1">
        <v>0</v>
      </c>
      <c r="P6" s="1">
        <v>23</v>
      </c>
      <c r="Q6" s="1">
        <v>43</v>
      </c>
      <c r="R6" s="1">
        <v>35</v>
      </c>
      <c r="S6" s="1">
        <v>14</v>
      </c>
      <c r="T6" s="1">
        <v>10</v>
      </c>
      <c r="U6" s="11">
        <v>9</v>
      </c>
    </row>
    <row r="7" spans="1:21" x14ac:dyDescent="0.25">
      <c r="A7" t="s">
        <v>32</v>
      </c>
      <c r="B7" s="9" t="s">
        <v>24</v>
      </c>
      <c r="C7" s="1">
        <v>40</v>
      </c>
      <c r="D7" s="2">
        <v>1.19</v>
      </c>
      <c r="E7" s="6">
        <v>233.8</v>
      </c>
      <c r="F7" s="2">
        <f t="shared" si="0"/>
        <v>1.1851851851851851</v>
      </c>
      <c r="G7" s="3">
        <v>0.72</v>
      </c>
      <c r="H7" s="5">
        <v>157.84</v>
      </c>
      <c r="I7" s="2">
        <f t="shared" si="1"/>
        <v>0.8</v>
      </c>
      <c r="J7" s="2">
        <f t="shared" si="2"/>
        <v>0.47499999999999998</v>
      </c>
      <c r="K7" s="2">
        <f t="shared" si="3"/>
        <v>0.15</v>
      </c>
      <c r="L7" s="2">
        <f t="shared" si="4"/>
        <v>2.5000000000000001E-2</v>
      </c>
      <c r="M7" s="3">
        <v>0.19</v>
      </c>
      <c r="N7" s="10">
        <f t="shared" si="5"/>
        <v>2.5000000000000001E-2</v>
      </c>
      <c r="O7" s="1">
        <v>1</v>
      </c>
      <c r="P7" s="1">
        <v>17</v>
      </c>
      <c r="Q7" s="1">
        <v>32</v>
      </c>
      <c r="R7" s="1">
        <v>27</v>
      </c>
      <c r="S7" s="1">
        <v>19</v>
      </c>
      <c r="T7" s="1">
        <v>6</v>
      </c>
      <c r="U7" s="11">
        <v>1</v>
      </c>
    </row>
    <row r="8" spans="1:21" x14ac:dyDescent="0.25">
      <c r="A8" t="s">
        <v>42</v>
      </c>
      <c r="B8" s="9" t="s">
        <v>24</v>
      </c>
      <c r="C8" s="1">
        <v>40</v>
      </c>
      <c r="D8" s="2">
        <v>1.1399999999999999</v>
      </c>
      <c r="E8" s="6">
        <v>215</v>
      </c>
      <c r="F8" s="2">
        <f t="shared" si="0"/>
        <v>1.32</v>
      </c>
      <c r="G8" s="3">
        <v>0.7</v>
      </c>
      <c r="H8" s="5">
        <v>134.30000000000001</v>
      </c>
      <c r="I8" s="2">
        <f t="shared" si="1"/>
        <v>0.82499999999999996</v>
      </c>
      <c r="J8" s="2">
        <f t="shared" si="2"/>
        <v>0.27500000000000002</v>
      </c>
      <c r="K8" s="2">
        <f t="shared" si="3"/>
        <v>0.05</v>
      </c>
      <c r="L8" s="2">
        <f t="shared" si="4"/>
        <v>0.125</v>
      </c>
      <c r="M8" s="3">
        <v>0.16</v>
      </c>
      <c r="N8" s="10">
        <f t="shared" si="5"/>
        <v>7.4999999999999997E-2</v>
      </c>
      <c r="O8" s="1">
        <v>3</v>
      </c>
      <c r="P8" s="1">
        <v>22</v>
      </c>
      <c r="Q8" s="1">
        <v>33</v>
      </c>
      <c r="R8" s="1">
        <v>25</v>
      </c>
      <c r="S8" s="1">
        <v>11</v>
      </c>
      <c r="T8" s="1">
        <v>2</v>
      </c>
      <c r="U8" s="11">
        <v>5</v>
      </c>
    </row>
    <row r="9" spans="1:21" x14ac:dyDescent="0.25">
      <c r="A9" t="s">
        <v>31</v>
      </c>
      <c r="B9" s="9" t="s">
        <v>30</v>
      </c>
      <c r="C9" s="1">
        <v>46</v>
      </c>
      <c r="D9" s="2">
        <v>1.1200000000000001</v>
      </c>
      <c r="E9" s="6">
        <v>255.26</v>
      </c>
      <c r="F9" s="2">
        <f t="shared" si="0"/>
        <v>1.1714285714285715</v>
      </c>
      <c r="G9" s="3">
        <v>0.74</v>
      </c>
      <c r="H9" s="5">
        <v>154.72999999999999</v>
      </c>
      <c r="I9" s="2">
        <f t="shared" si="1"/>
        <v>0.89130434782608692</v>
      </c>
      <c r="J9" s="2">
        <f t="shared" si="2"/>
        <v>0.30434782608695654</v>
      </c>
      <c r="K9" s="2">
        <f t="shared" si="3"/>
        <v>6.5217391304347824E-2</v>
      </c>
      <c r="L9" s="2">
        <f t="shared" si="4"/>
        <v>4.3478260869565216E-2</v>
      </c>
      <c r="M9" s="3">
        <v>0.2</v>
      </c>
      <c r="N9" s="10">
        <f t="shared" si="5"/>
        <v>0</v>
      </c>
      <c r="O9" s="1">
        <v>0</v>
      </c>
      <c r="P9" s="1">
        <v>24</v>
      </c>
      <c r="Q9" s="1">
        <v>41</v>
      </c>
      <c r="R9" s="1">
        <v>35</v>
      </c>
      <c r="S9" s="1">
        <v>14</v>
      </c>
      <c r="T9" s="1">
        <v>3</v>
      </c>
      <c r="U9" s="11">
        <v>2</v>
      </c>
    </row>
    <row r="10" spans="1:21" x14ac:dyDescent="0.25">
      <c r="A10" t="s">
        <v>36</v>
      </c>
      <c r="B10" s="9" t="s">
        <v>28</v>
      </c>
      <c r="C10" s="1">
        <v>24</v>
      </c>
      <c r="D10" s="1">
        <v>1.1200000000000001</v>
      </c>
      <c r="E10" s="6">
        <v>224</v>
      </c>
      <c r="F10" s="2">
        <f t="shared" si="0"/>
        <v>1</v>
      </c>
      <c r="G10" s="4">
        <v>0.83</v>
      </c>
      <c r="H10" s="5">
        <v>156.5</v>
      </c>
      <c r="I10" s="2">
        <f t="shared" si="1"/>
        <v>0.70833333333333337</v>
      </c>
      <c r="J10" s="2">
        <f t="shared" si="2"/>
        <v>0.375</v>
      </c>
      <c r="K10" s="2">
        <f t="shared" si="3"/>
        <v>8.3333333333333329E-2</v>
      </c>
      <c r="L10" s="2">
        <f t="shared" si="4"/>
        <v>4.1666666666666664E-2</v>
      </c>
      <c r="M10" s="4">
        <v>0.22</v>
      </c>
      <c r="N10" s="10">
        <f t="shared" si="5"/>
        <v>0</v>
      </c>
      <c r="O10" s="1">
        <v>0</v>
      </c>
      <c r="P10" s="1">
        <v>17</v>
      </c>
      <c r="Q10" s="1">
        <v>17</v>
      </c>
      <c r="R10" s="1">
        <v>17</v>
      </c>
      <c r="S10" s="1">
        <v>9</v>
      </c>
      <c r="T10" s="1">
        <v>2</v>
      </c>
      <c r="U10" s="11">
        <v>1</v>
      </c>
    </row>
    <row r="11" spans="1:21" x14ac:dyDescent="0.25">
      <c r="A11" t="s">
        <v>33</v>
      </c>
      <c r="B11" s="9" t="s">
        <v>26</v>
      </c>
      <c r="C11" s="1">
        <v>40</v>
      </c>
      <c r="D11" s="2">
        <v>1.1100000000000001</v>
      </c>
      <c r="E11" s="6">
        <v>209.6</v>
      </c>
      <c r="F11" s="2">
        <f t="shared" si="0"/>
        <v>1.1153846153846154</v>
      </c>
      <c r="G11" s="3">
        <v>0.73</v>
      </c>
      <c r="H11" s="5">
        <v>140.34</v>
      </c>
      <c r="I11" s="2">
        <f t="shared" si="1"/>
        <v>0.72499999999999998</v>
      </c>
      <c r="J11" s="2">
        <f t="shared" si="2"/>
        <v>0.4</v>
      </c>
      <c r="K11" s="2">
        <f t="shared" si="3"/>
        <v>0</v>
      </c>
      <c r="L11" s="2">
        <f t="shared" si="4"/>
        <v>2.5000000000000001E-2</v>
      </c>
      <c r="M11" s="3">
        <v>0.17</v>
      </c>
      <c r="N11" s="10">
        <f t="shared" si="5"/>
        <v>2.5000000000000001E-2</v>
      </c>
      <c r="O11" s="1">
        <v>1</v>
      </c>
      <c r="P11" s="1">
        <v>21</v>
      </c>
      <c r="Q11" s="1">
        <v>29</v>
      </c>
      <c r="R11" s="1">
        <v>26</v>
      </c>
      <c r="S11" s="1">
        <v>16</v>
      </c>
      <c r="T11" s="1">
        <v>0</v>
      </c>
      <c r="U11" s="11">
        <v>1</v>
      </c>
    </row>
    <row r="12" spans="1:21" x14ac:dyDescent="0.25">
      <c r="A12" t="s">
        <v>35</v>
      </c>
      <c r="B12" s="9" t="s">
        <v>30</v>
      </c>
      <c r="C12" s="1">
        <v>64</v>
      </c>
      <c r="D12" s="2">
        <v>1.0900000000000001</v>
      </c>
      <c r="E12" s="6">
        <v>258.81</v>
      </c>
      <c r="F12" s="2">
        <f t="shared" si="0"/>
        <v>1.1153846153846154</v>
      </c>
      <c r="G12" s="3">
        <v>0.74</v>
      </c>
      <c r="H12" s="5">
        <v>166.92</v>
      </c>
      <c r="I12" s="2">
        <f t="shared" si="1"/>
        <v>0.90625</v>
      </c>
      <c r="J12" s="2">
        <f t="shared" si="2"/>
        <v>0.171875</v>
      </c>
      <c r="K12" s="2">
        <f t="shared" si="3"/>
        <v>0.25</v>
      </c>
      <c r="L12" s="2">
        <f t="shared" si="4"/>
        <v>0.203125</v>
      </c>
      <c r="M12" s="3">
        <v>0.31</v>
      </c>
      <c r="N12" s="10">
        <f t="shared" si="5"/>
        <v>0</v>
      </c>
      <c r="O12" s="1">
        <v>0</v>
      </c>
      <c r="P12" s="1">
        <v>21</v>
      </c>
      <c r="Q12" s="1">
        <v>58</v>
      </c>
      <c r="R12" s="1">
        <v>52</v>
      </c>
      <c r="S12" s="1">
        <v>11</v>
      </c>
      <c r="T12" s="1">
        <v>16</v>
      </c>
      <c r="U12" s="11">
        <v>13</v>
      </c>
    </row>
    <row r="13" spans="1:21" x14ac:dyDescent="0.25">
      <c r="A13" t="s">
        <v>39</v>
      </c>
      <c r="B13" s="9" t="s">
        <v>24</v>
      </c>
      <c r="C13" s="1">
        <v>40</v>
      </c>
      <c r="D13" s="2">
        <v>1.0900000000000001</v>
      </c>
      <c r="E13" s="6">
        <v>209.2</v>
      </c>
      <c r="F13" s="2">
        <f t="shared" si="0"/>
        <v>1.2307692307692308</v>
      </c>
      <c r="G13" s="3">
        <v>0.7</v>
      </c>
      <c r="H13" s="5">
        <v>140.62</v>
      </c>
      <c r="I13" s="2">
        <f t="shared" si="1"/>
        <v>0.8</v>
      </c>
      <c r="J13" s="2">
        <f t="shared" si="2"/>
        <v>0.17499999999999999</v>
      </c>
      <c r="K13" s="2">
        <f t="shared" si="3"/>
        <v>0.1</v>
      </c>
      <c r="L13" s="2">
        <f t="shared" si="4"/>
        <v>7.4999999999999997E-2</v>
      </c>
      <c r="M13" s="3">
        <v>0.27</v>
      </c>
      <c r="N13" s="10">
        <f t="shared" si="5"/>
        <v>0.05</v>
      </c>
      <c r="O13" s="1">
        <v>2</v>
      </c>
      <c r="P13" s="1">
        <v>17</v>
      </c>
      <c r="Q13" s="1">
        <v>32</v>
      </c>
      <c r="R13" s="1">
        <v>26</v>
      </c>
      <c r="S13" s="1">
        <v>7</v>
      </c>
      <c r="T13" s="1">
        <v>4</v>
      </c>
      <c r="U13" s="11">
        <v>3</v>
      </c>
    </row>
    <row r="14" spans="1:21" x14ac:dyDescent="0.25">
      <c r="A14" t="s">
        <v>34</v>
      </c>
      <c r="B14" s="9" t="s">
        <v>24</v>
      </c>
      <c r="C14" s="1">
        <v>40</v>
      </c>
      <c r="D14" s="2">
        <v>1.05</v>
      </c>
      <c r="E14" s="6">
        <v>216.2</v>
      </c>
      <c r="F14" s="2">
        <f t="shared" si="0"/>
        <v>1.1111111111111112</v>
      </c>
      <c r="G14" s="3">
        <v>0.7</v>
      </c>
      <c r="H14" s="5">
        <v>134.04</v>
      </c>
      <c r="I14" s="2">
        <f t="shared" si="1"/>
        <v>0.75</v>
      </c>
      <c r="J14" s="2">
        <f t="shared" si="2"/>
        <v>0.27500000000000002</v>
      </c>
      <c r="K14" s="2">
        <f t="shared" si="3"/>
        <v>0.2</v>
      </c>
      <c r="L14" s="2">
        <f t="shared" si="4"/>
        <v>0.2</v>
      </c>
      <c r="M14" s="3">
        <v>0.2</v>
      </c>
      <c r="N14" s="10">
        <f t="shared" si="5"/>
        <v>0</v>
      </c>
      <c r="O14" s="1">
        <v>0</v>
      </c>
      <c r="P14" s="1">
        <v>20</v>
      </c>
      <c r="Q14" s="1">
        <v>30</v>
      </c>
      <c r="R14" s="1">
        <v>27</v>
      </c>
      <c r="S14" s="1">
        <v>11</v>
      </c>
      <c r="T14" s="1">
        <v>8</v>
      </c>
      <c r="U14" s="11">
        <v>8</v>
      </c>
    </row>
    <row r="15" spans="1:21" x14ac:dyDescent="0.25">
      <c r="A15" t="s">
        <v>41</v>
      </c>
      <c r="B15" s="9" t="s">
        <v>30</v>
      </c>
      <c r="C15" s="1">
        <v>64</v>
      </c>
      <c r="D15" s="2">
        <v>1</v>
      </c>
      <c r="E15" s="6">
        <v>173.06</v>
      </c>
      <c r="F15" s="2">
        <f t="shared" si="0"/>
        <v>1.0833333333333333</v>
      </c>
      <c r="G15" s="3">
        <v>0.72</v>
      </c>
      <c r="H15" s="5">
        <v>116.9</v>
      </c>
      <c r="I15" s="2">
        <f t="shared" si="1"/>
        <v>0.609375</v>
      </c>
      <c r="J15" s="2">
        <f t="shared" si="2"/>
        <v>0.140625</v>
      </c>
      <c r="K15" s="2">
        <f t="shared" si="3"/>
        <v>3.125E-2</v>
      </c>
      <c r="L15" s="2">
        <f t="shared" si="4"/>
        <v>6.25E-2</v>
      </c>
      <c r="M15" s="3">
        <v>0.15</v>
      </c>
      <c r="N15" s="10">
        <f t="shared" si="5"/>
        <v>3.125E-2</v>
      </c>
      <c r="O15" s="1">
        <v>2</v>
      </c>
      <c r="P15" s="1">
        <v>19</v>
      </c>
      <c r="Q15" s="1">
        <v>39</v>
      </c>
      <c r="R15" s="1">
        <v>36</v>
      </c>
      <c r="S15" s="1">
        <v>9</v>
      </c>
      <c r="T15" s="1">
        <v>2</v>
      </c>
      <c r="U15" s="11">
        <v>4</v>
      </c>
    </row>
    <row r="16" spans="1:21" x14ac:dyDescent="0.25">
      <c r="A16" t="s">
        <v>40</v>
      </c>
      <c r="B16" s="9" t="s">
        <v>26</v>
      </c>
      <c r="C16" s="1">
        <v>38</v>
      </c>
      <c r="D16" s="2">
        <v>0.85</v>
      </c>
      <c r="E16" s="6">
        <v>188.68</v>
      </c>
      <c r="F16" s="2">
        <f t="shared" si="0"/>
        <v>0.72727272727272729</v>
      </c>
      <c r="G16" s="3">
        <v>0.71</v>
      </c>
      <c r="H16" s="5">
        <v>138.91</v>
      </c>
      <c r="I16" s="2">
        <f t="shared" si="1"/>
        <v>0.63157894736842102</v>
      </c>
      <c r="J16" s="2">
        <f t="shared" si="2"/>
        <v>0.34210526315789475</v>
      </c>
      <c r="K16" s="2">
        <f t="shared" si="3"/>
        <v>5.2631578947368418E-2</v>
      </c>
      <c r="L16" s="2">
        <f t="shared" si="4"/>
        <v>0.15789473684210525</v>
      </c>
      <c r="M16" s="3">
        <v>0.15</v>
      </c>
      <c r="N16" s="10">
        <f t="shared" si="5"/>
        <v>2.6315789473684209E-2</v>
      </c>
      <c r="O16" s="1">
        <v>1</v>
      </c>
      <c r="P16" s="1">
        <v>16</v>
      </c>
      <c r="Q16" s="1">
        <v>24</v>
      </c>
      <c r="R16" s="1">
        <v>33</v>
      </c>
      <c r="S16" s="1">
        <v>13</v>
      </c>
      <c r="T16" s="1">
        <v>2</v>
      </c>
      <c r="U16" s="11">
        <v>6</v>
      </c>
    </row>
    <row r="17" spans="1:21" x14ac:dyDescent="0.25">
      <c r="A17" t="s">
        <v>46</v>
      </c>
      <c r="B17" s="9" t="s">
        <v>26</v>
      </c>
      <c r="C17" s="1">
        <v>62</v>
      </c>
      <c r="D17" s="2">
        <v>0.84</v>
      </c>
      <c r="E17" s="6">
        <v>166.81</v>
      </c>
      <c r="F17" s="2">
        <f t="shared" si="0"/>
        <v>0.73913043478260865</v>
      </c>
      <c r="G17" s="3">
        <v>0.74</v>
      </c>
      <c r="H17" s="5">
        <v>105.11</v>
      </c>
      <c r="I17" s="2">
        <f t="shared" si="1"/>
        <v>0.54838709677419351</v>
      </c>
      <c r="J17" s="2">
        <f t="shared" si="2"/>
        <v>0.35483870967741937</v>
      </c>
      <c r="K17" s="2">
        <f t="shared" si="3"/>
        <v>3.2258064516129031E-2</v>
      </c>
      <c r="L17" s="2">
        <f t="shared" si="4"/>
        <v>0.14516129032258066</v>
      </c>
      <c r="M17" s="3">
        <v>0.13</v>
      </c>
      <c r="N17" s="10">
        <f t="shared" si="5"/>
        <v>1.6129032258064516E-2</v>
      </c>
      <c r="O17" s="1">
        <v>1</v>
      </c>
      <c r="P17" s="1">
        <v>14</v>
      </c>
      <c r="Q17" s="1">
        <v>34</v>
      </c>
      <c r="R17" s="1">
        <v>46</v>
      </c>
      <c r="S17" s="1">
        <v>22</v>
      </c>
      <c r="T17" s="1">
        <v>2</v>
      </c>
      <c r="U17" s="11">
        <v>9</v>
      </c>
    </row>
    <row r="18" spans="1:21" x14ac:dyDescent="0.25">
      <c r="A18" t="s">
        <v>45</v>
      </c>
      <c r="B18" s="9" t="s">
        <v>28</v>
      </c>
      <c r="C18" s="1">
        <v>42</v>
      </c>
      <c r="D18" s="1">
        <v>0.82</v>
      </c>
      <c r="E18" s="6">
        <v>151.29</v>
      </c>
      <c r="F18" s="2">
        <f t="shared" si="0"/>
        <v>0.74193548387096775</v>
      </c>
      <c r="G18" s="4">
        <v>0.79</v>
      </c>
      <c r="H18" s="5">
        <v>98.19</v>
      </c>
      <c r="I18" s="2">
        <f t="shared" si="1"/>
        <v>0.54761904761904767</v>
      </c>
      <c r="J18" s="2">
        <f t="shared" si="2"/>
        <v>0.23809523809523808</v>
      </c>
      <c r="K18" s="2">
        <f t="shared" si="3"/>
        <v>7.1428571428571425E-2</v>
      </c>
      <c r="L18" s="2">
        <f t="shared" si="4"/>
        <v>9.5238095238095233E-2</v>
      </c>
      <c r="M18" s="4">
        <v>0.18</v>
      </c>
      <c r="N18" s="10">
        <f t="shared" si="5"/>
        <v>0</v>
      </c>
      <c r="O18" s="1">
        <v>0</v>
      </c>
      <c r="P18" s="1">
        <v>16</v>
      </c>
      <c r="Q18" s="1">
        <v>23</v>
      </c>
      <c r="R18" s="1">
        <v>31</v>
      </c>
      <c r="S18" s="1">
        <v>10</v>
      </c>
      <c r="T18" s="1">
        <v>3</v>
      </c>
      <c r="U18" s="11">
        <v>4</v>
      </c>
    </row>
    <row r="19" spans="1:21" x14ac:dyDescent="0.25">
      <c r="A19" t="s">
        <v>37</v>
      </c>
      <c r="B19" s="9" t="s">
        <v>28</v>
      </c>
      <c r="C19" s="1">
        <v>18</v>
      </c>
      <c r="D19" s="2">
        <v>0.79</v>
      </c>
      <c r="E19" s="6">
        <v>157</v>
      </c>
      <c r="F19" s="2">
        <f t="shared" si="0"/>
        <v>0.76923076923076927</v>
      </c>
      <c r="G19" s="3">
        <v>0.67</v>
      </c>
      <c r="H19" s="5">
        <v>88.9</v>
      </c>
      <c r="I19" s="2">
        <f t="shared" si="1"/>
        <v>0.55555555555555558</v>
      </c>
      <c r="J19" s="2">
        <f t="shared" si="2"/>
        <v>0.33333333333333331</v>
      </c>
      <c r="K19" s="2">
        <f t="shared" si="3"/>
        <v>5.5555555555555552E-2</v>
      </c>
      <c r="L19" s="2">
        <f t="shared" si="4"/>
        <v>0.16666666666666666</v>
      </c>
      <c r="M19" s="3">
        <v>0.25</v>
      </c>
      <c r="N19" s="10">
        <f t="shared" si="5"/>
        <v>0</v>
      </c>
      <c r="O19" s="1">
        <v>0</v>
      </c>
      <c r="P19" s="1">
        <v>10</v>
      </c>
      <c r="Q19" s="1">
        <v>10</v>
      </c>
      <c r="R19" s="1">
        <v>13</v>
      </c>
      <c r="S19" s="1">
        <v>6</v>
      </c>
      <c r="T19" s="1">
        <v>1</v>
      </c>
      <c r="U19" s="11">
        <v>3</v>
      </c>
    </row>
    <row r="20" spans="1:21" x14ac:dyDescent="0.25">
      <c r="A20" t="s">
        <v>47</v>
      </c>
      <c r="B20" s="9" t="s">
        <v>26</v>
      </c>
      <c r="C20" s="1">
        <v>16</v>
      </c>
      <c r="D20" s="2">
        <v>0.78</v>
      </c>
      <c r="E20" s="6">
        <v>233</v>
      </c>
      <c r="F20" s="2">
        <f t="shared" si="0"/>
        <v>0.75</v>
      </c>
      <c r="G20" s="3">
        <v>0.69</v>
      </c>
      <c r="H20" s="5">
        <v>132.6</v>
      </c>
      <c r="I20" s="2">
        <f t="shared" si="1"/>
        <v>0.75</v>
      </c>
      <c r="J20" s="2">
        <f t="shared" si="2"/>
        <v>0.375</v>
      </c>
      <c r="K20" s="2">
        <f t="shared" si="3"/>
        <v>0.3125</v>
      </c>
      <c r="L20" s="2">
        <f t="shared" si="4"/>
        <v>0.1875</v>
      </c>
      <c r="M20" s="3">
        <v>0.15</v>
      </c>
      <c r="N20" s="10">
        <f t="shared" si="5"/>
        <v>0</v>
      </c>
      <c r="O20" s="1">
        <v>0</v>
      </c>
      <c r="P20" s="1">
        <v>12</v>
      </c>
      <c r="Q20" s="1">
        <v>12</v>
      </c>
      <c r="R20" s="1">
        <v>16</v>
      </c>
      <c r="S20" s="1">
        <v>6</v>
      </c>
      <c r="T20" s="1">
        <v>5</v>
      </c>
      <c r="U20" s="11">
        <v>3</v>
      </c>
    </row>
    <row r="21" spans="1:21" x14ac:dyDescent="0.25">
      <c r="A21" t="s">
        <v>44</v>
      </c>
      <c r="B21" s="9" t="s">
        <v>28</v>
      </c>
      <c r="C21" s="1">
        <v>42</v>
      </c>
      <c r="D21" s="1">
        <v>0.78</v>
      </c>
      <c r="E21" s="6">
        <v>190.14</v>
      </c>
      <c r="F21" s="2">
        <f t="shared" si="0"/>
        <v>0.75</v>
      </c>
      <c r="G21" s="4">
        <v>0.71</v>
      </c>
      <c r="H21" s="5">
        <v>117.66</v>
      </c>
      <c r="I21" s="2">
        <f t="shared" si="1"/>
        <v>0.6428571428571429</v>
      </c>
      <c r="J21" s="2">
        <f t="shared" si="2"/>
        <v>0.19047619047619047</v>
      </c>
      <c r="K21" s="2">
        <f t="shared" si="3"/>
        <v>0.14285714285714285</v>
      </c>
      <c r="L21" s="2">
        <f t="shared" si="4"/>
        <v>0.21428571428571427</v>
      </c>
      <c r="M21" s="4">
        <v>0.2</v>
      </c>
      <c r="N21" s="10">
        <f t="shared" si="5"/>
        <v>0</v>
      </c>
      <c r="O21" s="1">
        <v>0</v>
      </c>
      <c r="P21" s="1">
        <v>16</v>
      </c>
      <c r="Q21" s="1">
        <v>27</v>
      </c>
      <c r="R21" s="1">
        <v>36</v>
      </c>
      <c r="S21" s="1">
        <v>8</v>
      </c>
      <c r="T21" s="1">
        <v>6</v>
      </c>
      <c r="U21" s="11">
        <v>9</v>
      </c>
    </row>
    <row r="22" spans="1:21" x14ac:dyDescent="0.25">
      <c r="A22" t="s">
        <v>43</v>
      </c>
      <c r="B22" s="9" t="s">
        <v>28</v>
      </c>
      <c r="C22" s="1">
        <v>42</v>
      </c>
      <c r="D22" s="1">
        <v>0.71</v>
      </c>
      <c r="E22" s="6">
        <v>151.71</v>
      </c>
      <c r="F22" s="2">
        <f t="shared" si="0"/>
        <v>0.55882352941176472</v>
      </c>
      <c r="G22" s="4">
        <v>0.67</v>
      </c>
      <c r="H22" s="5">
        <v>101.66</v>
      </c>
      <c r="I22" s="2">
        <f t="shared" si="1"/>
        <v>0.45238095238095238</v>
      </c>
      <c r="J22" s="2">
        <f t="shared" si="2"/>
        <v>0.40476190476190477</v>
      </c>
      <c r="K22" s="2">
        <f t="shared" si="3"/>
        <v>0</v>
      </c>
      <c r="L22" s="2">
        <f t="shared" si="4"/>
        <v>7.1428571428571425E-2</v>
      </c>
      <c r="M22" s="4">
        <v>0.1</v>
      </c>
      <c r="N22" s="10">
        <f t="shared" si="5"/>
        <v>0</v>
      </c>
      <c r="O22" s="1">
        <v>0</v>
      </c>
      <c r="P22" s="1">
        <v>11</v>
      </c>
      <c r="Q22" s="1">
        <v>19</v>
      </c>
      <c r="R22" s="1">
        <v>34</v>
      </c>
      <c r="S22" s="1">
        <v>17</v>
      </c>
      <c r="T22" s="1">
        <v>0</v>
      </c>
      <c r="U22" s="11">
        <v>3</v>
      </c>
    </row>
    <row r="23" spans="1:21" x14ac:dyDescent="0.25">
      <c r="A23" t="s">
        <v>48</v>
      </c>
      <c r="B23" s="9" t="s">
        <v>30</v>
      </c>
      <c r="C23" s="1">
        <v>64</v>
      </c>
      <c r="D23" s="2">
        <v>0.65</v>
      </c>
      <c r="E23" s="6">
        <v>98.47</v>
      </c>
      <c r="F23" s="2">
        <f t="shared" si="0"/>
        <v>0.43478260869565216</v>
      </c>
      <c r="G23" s="3">
        <v>0.75</v>
      </c>
      <c r="H23" s="5">
        <v>66.48</v>
      </c>
      <c r="I23" s="2">
        <f t="shared" si="1"/>
        <v>0.3125</v>
      </c>
      <c r="J23" s="2">
        <f t="shared" si="2"/>
        <v>0.390625</v>
      </c>
      <c r="K23" s="2">
        <f t="shared" si="3"/>
        <v>4.6875E-2</v>
      </c>
      <c r="L23" s="2">
        <f t="shared" si="4"/>
        <v>1.5625E-2</v>
      </c>
      <c r="M23" s="3">
        <v>0.22</v>
      </c>
      <c r="N23" s="10">
        <f t="shared" si="5"/>
        <v>1.5625E-2</v>
      </c>
      <c r="O23" s="1">
        <v>1</v>
      </c>
      <c r="P23" s="1">
        <v>9</v>
      </c>
      <c r="Q23" s="1">
        <v>20</v>
      </c>
      <c r="R23" s="1">
        <v>46</v>
      </c>
      <c r="S23" s="1">
        <v>25</v>
      </c>
      <c r="T23" s="1">
        <v>3</v>
      </c>
      <c r="U23" s="11">
        <v>1</v>
      </c>
    </row>
    <row r="24" spans="1:21" x14ac:dyDescent="0.25">
      <c r="A24" s="12" t="s">
        <v>49</v>
      </c>
      <c r="B24" s="13" t="s">
        <v>26</v>
      </c>
      <c r="C24" s="14">
        <v>62</v>
      </c>
      <c r="D24" s="15">
        <v>0.37</v>
      </c>
      <c r="E24" s="16">
        <v>56.65</v>
      </c>
      <c r="F24" s="15">
        <f t="shared" si="0"/>
        <v>0.27659574468085107</v>
      </c>
      <c r="G24" s="17">
        <v>0.55000000000000004</v>
      </c>
      <c r="H24" s="18">
        <v>39.44</v>
      </c>
      <c r="I24" s="15">
        <f t="shared" si="1"/>
        <v>0.20967741935483872</v>
      </c>
      <c r="J24" s="15">
        <f t="shared" si="2"/>
        <v>0.14516129032258066</v>
      </c>
      <c r="K24" s="15">
        <f t="shared" si="3"/>
        <v>0</v>
      </c>
      <c r="L24" s="15">
        <f t="shared" si="4"/>
        <v>6.4516129032258063E-2</v>
      </c>
      <c r="M24" s="17">
        <v>0.11</v>
      </c>
      <c r="N24" s="19">
        <f t="shared" si="5"/>
        <v>0</v>
      </c>
      <c r="O24" s="14">
        <v>0</v>
      </c>
      <c r="P24" s="14">
        <v>5</v>
      </c>
      <c r="Q24" s="14">
        <v>13</v>
      </c>
      <c r="R24" s="14">
        <v>47</v>
      </c>
      <c r="S24" s="14">
        <v>9</v>
      </c>
      <c r="T24" s="14">
        <v>0</v>
      </c>
      <c r="U24" s="20">
        <v>4</v>
      </c>
    </row>
    <row r="26" spans="1:21" x14ac:dyDescent="0.25">
      <c r="A26" t="s">
        <v>51</v>
      </c>
    </row>
  </sheetData>
  <autoFilter ref="A1:U1" xr:uid="{00000000-0009-0000-0000-000001000000}">
    <sortState xmlns:xlrd2="http://schemas.microsoft.com/office/spreadsheetml/2017/richdata2" ref="A2:U24">
      <sortCondition descending="1" ref="D1"/>
    </sortState>
  </autoFilter>
  <conditionalFormatting sqref="C2:C23">
    <cfRule type="top10" dxfId="15" priority="2" rank="1"/>
  </conditionalFormatting>
  <conditionalFormatting sqref="D2:D24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">
      <colorScale>
        <cfvo type="min"/>
        <cfvo type="max"/>
        <color rgb="FFFFEF9C"/>
        <color rgb="FF63BE7B"/>
      </colorScale>
    </cfRule>
  </conditionalFormatting>
  <conditionalFormatting sqref="E2:E2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">
      <colorScale>
        <cfvo type="min"/>
        <cfvo type="max"/>
        <color rgb="FFFFEF9C"/>
        <color rgb="FF63BE7B"/>
      </colorScale>
    </cfRule>
  </conditionalFormatting>
  <conditionalFormatting sqref="F2:F2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">
      <colorScale>
        <cfvo type="min"/>
        <cfvo type="max"/>
        <color rgb="FFFFEF9C"/>
        <color rgb="FF63BE7B"/>
      </colorScale>
    </cfRule>
  </conditionalFormatting>
  <conditionalFormatting sqref="G2:G24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">
      <colorScale>
        <cfvo type="min"/>
        <cfvo type="max"/>
        <color rgb="FFFFEF9C"/>
        <color rgb="FF63BE7B"/>
      </colorScale>
    </cfRule>
  </conditionalFormatting>
  <conditionalFormatting sqref="H2:H24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2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24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2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2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23">
    <cfRule type="top10" dxfId="14" priority="1" rank="1"/>
  </conditionalFormatting>
  <conditionalFormatting sqref="P2:P23">
    <cfRule type="top10" dxfId="13" priority="8" rank="1"/>
  </conditionalFormatting>
  <conditionalFormatting sqref="Q2:Q23">
    <cfRule type="top10" dxfId="12" priority="7" rank="1"/>
  </conditionalFormatting>
  <conditionalFormatting sqref="R2:R23">
    <cfRule type="top10" dxfId="11" priority="6" bottom="1" rank="1"/>
  </conditionalFormatting>
  <conditionalFormatting sqref="S2:S23">
    <cfRule type="top10" dxfId="10" priority="5" rank="1"/>
  </conditionalFormatting>
  <conditionalFormatting sqref="T2:T23">
    <cfRule type="top10" dxfId="9" priority="4" rank="1"/>
  </conditionalFormatting>
  <conditionalFormatting sqref="U2:U23">
    <cfRule type="top10" dxfId="8" priority="3" bottom="1" rank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8"/>
  <sheetViews>
    <sheetView workbookViewId="0">
      <selection activeCell="C24" sqref="C24"/>
    </sheetView>
  </sheetViews>
  <sheetFormatPr defaultRowHeight="15" x14ac:dyDescent="0.25"/>
  <cols>
    <col min="1" max="1" width="13.5703125" bestFit="1" customWidth="1"/>
    <col min="2" max="2" width="10.42578125" bestFit="1" customWidth="1"/>
    <col min="3" max="3" width="12.42578125" bestFit="1" customWidth="1"/>
    <col min="4" max="4" width="9.42578125" bestFit="1" customWidth="1"/>
    <col min="5" max="5" width="9.28515625" bestFit="1" customWidth="1"/>
    <col min="6" max="6" width="8.7109375" bestFit="1" customWidth="1"/>
    <col min="7" max="7" width="10" bestFit="1" customWidth="1"/>
    <col min="8" max="8" width="9.42578125" bestFit="1" customWidth="1"/>
    <col min="11" max="11" width="10.140625" bestFit="1" customWidth="1"/>
    <col min="12" max="12" width="10.42578125" bestFit="1" customWidth="1"/>
    <col min="13" max="13" width="9.7109375" bestFit="1" customWidth="1"/>
    <col min="14" max="14" width="9.5703125" bestFit="1" customWidth="1"/>
    <col min="15" max="15" width="8" bestFit="1" customWidth="1"/>
    <col min="16" max="16" width="10.5703125" bestFit="1" customWidth="1"/>
  </cols>
  <sheetData>
    <row r="1" spans="1:21" x14ac:dyDescent="0.25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8" t="s">
        <v>20</v>
      </c>
    </row>
    <row r="2" spans="1:21" x14ac:dyDescent="0.25">
      <c r="A2" t="s">
        <v>21</v>
      </c>
      <c r="B2" s="9" t="s">
        <v>26</v>
      </c>
      <c r="C2" s="1">
        <v>225</v>
      </c>
      <c r="D2" s="1">
        <v>1.52</v>
      </c>
      <c r="E2" s="6">
        <v>370.45</v>
      </c>
      <c r="F2" s="2">
        <f t="shared" ref="F2:F25" si="0">Q2/R2</f>
        <v>1.6243093922651934</v>
      </c>
      <c r="G2" s="4">
        <v>0.81</v>
      </c>
      <c r="H2" s="1">
        <v>235.49</v>
      </c>
      <c r="I2" s="2">
        <f t="shared" ref="I2:I25" si="1">Q2/C2</f>
        <v>1.3066666666666666</v>
      </c>
      <c r="J2" s="2">
        <f t="shared" ref="J2:J25" si="2">S2/C2</f>
        <v>0.31555555555555553</v>
      </c>
      <c r="K2" s="2">
        <f t="shared" ref="K2:K25" si="3">T2/C2</f>
        <v>0.25333333333333335</v>
      </c>
      <c r="L2" s="2">
        <f t="shared" ref="L2:L25" si="4">U2/C2</f>
        <v>0.1111111111111111</v>
      </c>
      <c r="M2" s="4">
        <v>0.25</v>
      </c>
      <c r="N2" s="10">
        <f t="shared" ref="N2:N25" si="5">O2/C2</f>
        <v>2.6666666666666668E-2</v>
      </c>
      <c r="O2" s="1">
        <v>6</v>
      </c>
      <c r="P2" s="1">
        <v>36</v>
      </c>
      <c r="Q2" s="1">
        <v>294</v>
      </c>
      <c r="R2" s="1">
        <v>181</v>
      </c>
      <c r="S2" s="1">
        <v>71</v>
      </c>
      <c r="T2" s="1">
        <v>57</v>
      </c>
      <c r="U2" s="11">
        <v>25</v>
      </c>
    </row>
    <row r="3" spans="1:21" x14ac:dyDescent="0.25">
      <c r="A3" t="s">
        <v>25</v>
      </c>
      <c r="B3" s="9" t="s">
        <v>26</v>
      </c>
      <c r="C3" s="1">
        <v>141</v>
      </c>
      <c r="D3" s="1">
        <v>1.37</v>
      </c>
      <c r="E3" s="6">
        <v>296.13</v>
      </c>
      <c r="F3" s="2">
        <f t="shared" si="0"/>
        <v>1.5319148936170213</v>
      </c>
      <c r="G3" s="4">
        <v>0.77</v>
      </c>
      <c r="H3" s="5">
        <v>189.39</v>
      </c>
      <c r="I3" s="2">
        <f t="shared" si="1"/>
        <v>1.0212765957446808</v>
      </c>
      <c r="J3" s="2">
        <f t="shared" si="2"/>
        <v>0.29078014184397161</v>
      </c>
      <c r="K3" s="2">
        <f t="shared" si="3"/>
        <v>0.22695035460992907</v>
      </c>
      <c r="L3" s="2">
        <f t="shared" si="4"/>
        <v>7.0921985815602842E-2</v>
      </c>
      <c r="M3" s="4">
        <v>0.22</v>
      </c>
      <c r="N3" s="10">
        <f t="shared" si="5"/>
        <v>2.8368794326241134E-2</v>
      </c>
      <c r="O3" s="1">
        <v>4</v>
      </c>
      <c r="P3" s="1">
        <v>28</v>
      </c>
      <c r="Q3" s="1">
        <v>144</v>
      </c>
      <c r="R3" s="1">
        <v>94</v>
      </c>
      <c r="S3" s="1">
        <v>41</v>
      </c>
      <c r="T3" s="1">
        <v>32</v>
      </c>
      <c r="U3" s="11">
        <v>10</v>
      </c>
    </row>
    <row r="4" spans="1:21" x14ac:dyDescent="0.25">
      <c r="A4" t="s">
        <v>27</v>
      </c>
      <c r="B4" s="9" t="s">
        <v>28</v>
      </c>
      <c r="C4" s="1">
        <v>149</v>
      </c>
      <c r="D4" s="1">
        <v>1.21</v>
      </c>
      <c r="E4" s="6">
        <v>280.17</v>
      </c>
      <c r="F4" s="2">
        <f t="shared" si="0"/>
        <v>1.2792792792792793</v>
      </c>
      <c r="G4" s="4">
        <v>0.76</v>
      </c>
      <c r="H4" s="5">
        <v>179.77</v>
      </c>
      <c r="I4" s="2">
        <f t="shared" si="1"/>
        <v>0.95302013422818788</v>
      </c>
      <c r="J4" s="2">
        <f t="shared" si="2"/>
        <v>0.32885906040268459</v>
      </c>
      <c r="K4" s="2">
        <f t="shared" si="3"/>
        <v>0.18791946308724833</v>
      </c>
      <c r="L4" s="2">
        <f t="shared" si="4"/>
        <v>0.14093959731543623</v>
      </c>
      <c r="M4" s="4">
        <v>0.21</v>
      </c>
      <c r="N4" s="10">
        <f t="shared" si="5"/>
        <v>2.0134228187919462E-2</v>
      </c>
      <c r="O4" s="1">
        <v>3</v>
      </c>
      <c r="P4" s="1">
        <v>27</v>
      </c>
      <c r="Q4" s="1">
        <v>142</v>
      </c>
      <c r="R4" s="1">
        <v>111</v>
      </c>
      <c r="S4" s="1">
        <v>49</v>
      </c>
      <c r="T4" s="1">
        <v>28</v>
      </c>
      <c r="U4" s="11">
        <v>21</v>
      </c>
    </row>
    <row r="5" spans="1:21" x14ac:dyDescent="0.25">
      <c r="A5" t="s">
        <v>31</v>
      </c>
      <c r="B5" s="9" t="s">
        <v>30</v>
      </c>
      <c r="C5" s="1">
        <v>137</v>
      </c>
      <c r="D5" s="2">
        <v>1.18</v>
      </c>
      <c r="E5" s="6">
        <v>267.17</v>
      </c>
      <c r="F5" s="2">
        <f t="shared" si="0"/>
        <v>1.2626262626262625</v>
      </c>
      <c r="G5" s="3">
        <v>0.76</v>
      </c>
      <c r="H5" s="5">
        <v>159.68</v>
      </c>
      <c r="I5" s="2">
        <f t="shared" si="1"/>
        <v>0.91240875912408759</v>
      </c>
      <c r="J5" s="2">
        <f t="shared" si="2"/>
        <v>0.24817518248175183</v>
      </c>
      <c r="K5" s="2">
        <f t="shared" si="3"/>
        <v>0.13138686131386862</v>
      </c>
      <c r="L5" s="2">
        <f t="shared" si="4"/>
        <v>0.10218978102189781</v>
      </c>
      <c r="M5" s="3">
        <v>0.19</v>
      </c>
      <c r="N5" s="10">
        <f t="shared" si="5"/>
        <v>2.1897810218978103E-2</v>
      </c>
      <c r="O5" s="1">
        <v>3</v>
      </c>
      <c r="P5" s="1">
        <v>30</v>
      </c>
      <c r="Q5" s="1">
        <v>125</v>
      </c>
      <c r="R5" s="1">
        <v>99</v>
      </c>
      <c r="S5" s="1">
        <v>34</v>
      </c>
      <c r="T5" s="1">
        <v>18</v>
      </c>
      <c r="U5" s="11">
        <v>14</v>
      </c>
    </row>
    <row r="6" spans="1:21" x14ac:dyDescent="0.25">
      <c r="A6" t="s">
        <v>23</v>
      </c>
      <c r="B6" s="9" t="s">
        <v>24</v>
      </c>
      <c r="C6" s="1">
        <v>194</v>
      </c>
      <c r="D6" s="2">
        <v>1.1200000000000001</v>
      </c>
      <c r="E6" s="6">
        <v>229.63</v>
      </c>
      <c r="F6" s="2">
        <f t="shared" si="0"/>
        <v>1.1716417910447761</v>
      </c>
      <c r="G6" s="3">
        <v>0.7</v>
      </c>
      <c r="H6" s="5">
        <v>154.77000000000001</v>
      </c>
      <c r="I6" s="2">
        <f t="shared" si="1"/>
        <v>0.80927835051546393</v>
      </c>
      <c r="J6" s="2">
        <f t="shared" si="2"/>
        <v>0.27835051546391754</v>
      </c>
      <c r="K6" s="2">
        <f t="shared" si="3"/>
        <v>8.247422680412371E-2</v>
      </c>
      <c r="L6" s="2">
        <f t="shared" si="4"/>
        <v>9.2783505154639179E-2</v>
      </c>
      <c r="M6" s="3">
        <v>0.24</v>
      </c>
      <c r="N6" s="10">
        <f t="shared" si="5"/>
        <v>3.0927835051546393E-2</v>
      </c>
      <c r="O6" s="1">
        <v>6</v>
      </c>
      <c r="P6" s="1">
        <v>32</v>
      </c>
      <c r="Q6" s="1">
        <v>157</v>
      </c>
      <c r="R6" s="1">
        <v>134</v>
      </c>
      <c r="S6" s="1">
        <v>54</v>
      </c>
      <c r="T6" s="1">
        <v>16</v>
      </c>
      <c r="U6" s="11">
        <v>18</v>
      </c>
    </row>
    <row r="7" spans="1:21" x14ac:dyDescent="0.25">
      <c r="A7" t="s">
        <v>43</v>
      </c>
      <c r="B7" s="9" t="s">
        <v>28</v>
      </c>
      <c r="C7" s="1">
        <v>293</v>
      </c>
      <c r="D7" s="2">
        <v>1.06</v>
      </c>
      <c r="E7" s="6">
        <v>227.67</v>
      </c>
      <c r="F7" s="2">
        <f t="shared" si="0"/>
        <v>1.1365853658536584</v>
      </c>
      <c r="G7" s="4">
        <v>0.71</v>
      </c>
      <c r="H7" s="5">
        <v>141.38999999999999</v>
      </c>
      <c r="I7" s="2">
        <f t="shared" si="1"/>
        <v>0.79522184300341292</v>
      </c>
      <c r="J7" s="2">
        <f t="shared" si="2"/>
        <v>0.28327645051194539</v>
      </c>
      <c r="K7" s="2">
        <f t="shared" si="3"/>
        <v>0.11262798634812286</v>
      </c>
      <c r="L7" s="2">
        <f t="shared" si="4"/>
        <v>9.556313993174062E-2</v>
      </c>
      <c r="M7" s="4">
        <v>0.15</v>
      </c>
      <c r="N7" s="10">
        <f t="shared" si="5"/>
        <v>6.8259385665529011E-3</v>
      </c>
      <c r="O7" s="1">
        <v>2</v>
      </c>
      <c r="P7" s="1">
        <v>27</v>
      </c>
      <c r="Q7" s="1">
        <v>233</v>
      </c>
      <c r="R7" s="1">
        <v>205</v>
      </c>
      <c r="S7" s="1">
        <v>83</v>
      </c>
      <c r="T7" s="1">
        <v>33</v>
      </c>
      <c r="U7" s="11">
        <v>28</v>
      </c>
    </row>
    <row r="8" spans="1:21" x14ac:dyDescent="0.25">
      <c r="A8" t="s">
        <v>29</v>
      </c>
      <c r="B8" s="9" t="s">
        <v>30</v>
      </c>
      <c r="C8" s="1">
        <v>92</v>
      </c>
      <c r="D8" s="1">
        <v>1.05</v>
      </c>
      <c r="E8" s="6">
        <v>229.12</v>
      </c>
      <c r="F8" s="2">
        <f t="shared" si="0"/>
        <v>1.0606060606060606</v>
      </c>
      <c r="G8" s="3">
        <v>0.66</v>
      </c>
      <c r="H8" s="5">
        <v>150.94</v>
      </c>
      <c r="I8" s="2">
        <f t="shared" si="1"/>
        <v>0.76086956521739135</v>
      </c>
      <c r="J8" s="2">
        <f t="shared" si="2"/>
        <v>0.27173913043478259</v>
      </c>
      <c r="K8" s="2">
        <f t="shared" si="3"/>
        <v>0.15217391304347827</v>
      </c>
      <c r="L8" s="2">
        <f t="shared" si="4"/>
        <v>0.11956521739130435</v>
      </c>
      <c r="M8" s="3">
        <v>0.11</v>
      </c>
      <c r="N8" s="10">
        <f t="shared" si="5"/>
        <v>3.2608695652173912E-2</v>
      </c>
      <c r="O8" s="1">
        <v>3</v>
      </c>
      <c r="P8" s="1">
        <v>25</v>
      </c>
      <c r="Q8" s="1">
        <v>70</v>
      </c>
      <c r="R8" s="1">
        <v>66</v>
      </c>
      <c r="S8" s="1">
        <v>25</v>
      </c>
      <c r="T8" s="1">
        <v>14</v>
      </c>
      <c r="U8" s="11">
        <v>11</v>
      </c>
    </row>
    <row r="9" spans="1:21" x14ac:dyDescent="0.25">
      <c r="A9" t="s">
        <v>34</v>
      </c>
      <c r="B9" s="9" t="s">
        <v>24</v>
      </c>
      <c r="C9" s="1">
        <v>144</v>
      </c>
      <c r="D9" s="1">
        <v>1.05</v>
      </c>
      <c r="E9" s="6">
        <v>248.51</v>
      </c>
      <c r="F9" s="2">
        <f t="shared" si="0"/>
        <v>1.0614035087719298</v>
      </c>
      <c r="G9" s="3">
        <v>0.65</v>
      </c>
      <c r="H9" s="5">
        <v>160.94999999999999</v>
      </c>
      <c r="I9" s="2">
        <f t="shared" si="1"/>
        <v>0.84027777777777779</v>
      </c>
      <c r="J9" s="2">
        <f t="shared" si="2"/>
        <v>0.27777777777777779</v>
      </c>
      <c r="K9" s="2">
        <f t="shared" si="3"/>
        <v>0.15972222222222221</v>
      </c>
      <c r="L9" s="2">
        <f t="shared" si="4"/>
        <v>0.27777777777777779</v>
      </c>
      <c r="M9" s="4">
        <v>0.22</v>
      </c>
      <c r="N9" s="10">
        <f t="shared" si="5"/>
        <v>0</v>
      </c>
      <c r="O9" s="1">
        <v>0</v>
      </c>
      <c r="P9" s="1">
        <v>23</v>
      </c>
      <c r="Q9" s="1">
        <v>121</v>
      </c>
      <c r="R9" s="1">
        <v>114</v>
      </c>
      <c r="S9" s="1">
        <v>40</v>
      </c>
      <c r="T9" s="1">
        <v>23</v>
      </c>
      <c r="U9" s="11">
        <v>40</v>
      </c>
    </row>
    <row r="10" spans="1:21" x14ac:dyDescent="0.25">
      <c r="A10" t="s">
        <v>33</v>
      </c>
      <c r="B10" s="9" t="s">
        <v>26</v>
      </c>
      <c r="C10" s="1">
        <v>192</v>
      </c>
      <c r="D10" s="1">
        <v>1.04</v>
      </c>
      <c r="E10" s="6">
        <v>189.86</v>
      </c>
      <c r="F10" s="2">
        <f t="shared" si="0"/>
        <v>1.1282051282051282</v>
      </c>
      <c r="G10" s="3">
        <v>0.71</v>
      </c>
      <c r="H10" s="5">
        <v>123.12</v>
      </c>
      <c r="I10" s="2">
        <f t="shared" si="1"/>
        <v>0.6875</v>
      </c>
      <c r="J10" s="2">
        <f t="shared" si="2"/>
        <v>0.28125</v>
      </c>
      <c r="K10" s="2">
        <f t="shared" si="3"/>
        <v>2.6041666666666668E-2</v>
      </c>
      <c r="L10" s="2">
        <f t="shared" si="4"/>
        <v>9.8958333333333329E-2</v>
      </c>
      <c r="M10" s="4">
        <v>0.23</v>
      </c>
      <c r="N10" s="10">
        <f t="shared" si="5"/>
        <v>1.5625E-2</v>
      </c>
      <c r="O10" s="1">
        <v>3</v>
      </c>
      <c r="P10" s="1">
        <v>19</v>
      </c>
      <c r="Q10" s="1">
        <v>132</v>
      </c>
      <c r="R10" s="1">
        <v>117</v>
      </c>
      <c r="S10" s="1">
        <v>54</v>
      </c>
      <c r="T10" s="1">
        <v>5</v>
      </c>
      <c r="U10" s="11">
        <v>19</v>
      </c>
    </row>
    <row r="11" spans="1:21" x14ac:dyDescent="0.25">
      <c r="A11" t="s">
        <v>40</v>
      </c>
      <c r="B11" s="9" t="s">
        <v>26</v>
      </c>
      <c r="C11" s="1">
        <v>247</v>
      </c>
      <c r="D11" s="2">
        <v>1.01</v>
      </c>
      <c r="E11" s="6">
        <v>215.6</v>
      </c>
      <c r="F11" s="2">
        <f t="shared" si="0"/>
        <v>1.0782122905027933</v>
      </c>
      <c r="G11" s="3">
        <v>0.74</v>
      </c>
      <c r="H11" s="5">
        <v>138.6</v>
      </c>
      <c r="I11" s="2">
        <f t="shared" si="1"/>
        <v>0.78137651821862353</v>
      </c>
      <c r="J11" s="2">
        <f t="shared" si="2"/>
        <v>0.14979757085020243</v>
      </c>
      <c r="K11" s="2">
        <f t="shared" si="3"/>
        <v>0.10526315789473684</v>
      </c>
      <c r="L11" s="2">
        <f t="shared" si="4"/>
        <v>0.10931174089068826</v>
      </c>
      <c r="M11" s="3">
        <v>0.22</v>
      </c>
      <c r="N11" s="10">
        <f t="shared" si="5"/>
        <v>8.0971659919028341E-3</v>
      </c>
      <c r="O11" s="1">
        <v>2</v>
      </c>
      <c r="P11" s="1">
        <v>26</v>
      </c>
      <c r="Q11" s="1">
        <v>193</v>
      </c>
      <c r="R11" s="1">
        <v>179</v>
      </c>
      <c r="S11" s="1">
        <v>37</v>
      </c>
      <c r="T11" s="1">
        <v>26</v>
      </c>
      <c r="U11" s="11">
        <v>27</v>
      </c>
    </row>
    <row r="12" spans="1:21" x14ac:dyDescent="0.25">
      <c r="A12" t="s">
        <v>36</v>
      </c>
      <c r="B12" s="9" t="s">
        <v>28</v>
      </c>
      <c r="C12" s="1">
        <v>194</v>
      </c>
      <c r="D12" s="1">
        <v>1.01</v>
      </c>
      <c r="E12" s="6">
        <v>200.94</v>
      </c>
      <c r="F12" s="2">
        <f t="shared" si="0"/>
        <v>0.96240601503759393</v>
      </c>
      <c r="G12" s="3">
        <v>0.77</v>
      </c>
      <c r="H12" s="5">
        <v>135.69999999999999</v>
      </c>
      <c r="I12" s="2">
        <f t="shared" si="1"/>
        <v>0.65979381443298968</v>
      </c>
      <c r="J12" s="2">
        <f t="shared" si="2"/>
        <v>0.37113402061855671</v>
      </c>
      <c r="K12" s="2">
        <f t="shared" si="3"/>
        <v>3.0927835051546393E-2</v>
      </c>
      <c r="L12" s="2">
        <f t="shared" si="4"/>
        <v>5.6701030927835051E-2</v>
      </c>
      <c r="M12" s="4">
        <v>0.2</v>
      </c>
      <c r="N12" s="10">
        <f t="shared" si="5"/>
        <v>2.0618556701030927E-2</v>
      </c>
      <c r="O12" s="1">
        <v>4</v>
      </c>
      <c r="P12" s="1">
        <v>23</v>
      </c>
      <c r="Q12" s="1">
        <v>128</v>
      </c>
      <c r="R12" s="1">
        <v>133</v>
      </c>
      <c r="S12" s="1">
        <v>72</v>
      </c>
      <c r="T12" s="1">
        <v>6</v>
      </c>
      <c r="U12" s="11">
        <v>11</v>
      </c>
    </row>
    <row r="13" spans="1:21" x14ac:dyDescent="0.25">
      <c r="A13" t="s">
        <v>35</v>
      </c>
      <c r="B13" s="9" t="s">
        <v>30</v>
      </c>
      <c r="C13" s="1">
        <v>137</v>
      </c>
      <c r="D13" s="2">
        <v>1</v>
      </c>
      <c r="E13" s="6">
        <v>217.26</v>
      </c>
      <c r="F13" s="2">
        <f t="shared" si="0"/>
        <v>1</v>
      </c>
      <c r="G13" s="3">
        <v>0.69</v>
      </c>
      <c r="H13" s="5">
        <v>143.21</v>
      </c>
      <c r="I13" s="2">
        <f t="shared" si="1"/>
        <v>0.74452554744525545</v>
      </c>
      <c r="J13" s="2">
        <f t="shared" si="2"/>
        <v>0.25547445255474455</v>
      </c>
      <c r="K13" s="2">
        <f t="shared" si="3"/>
        <v>0.10218978102189781</v>
      </c>
      <c r="L13" s="2">
        <f t="shared" si="4"/>
        <v>0.13138686131386862</v>
      </c>
      <c r="M13" s="4">
        <v>0.22</v>
      </c>
      <c r="N13" s="10">
        <f t="shared" si="5"/>
        <v>7.2992700729927005E-3</v>
      </c>
      <c r="O13" s="1">
        <v>1</v>
      </c>
      <c r="P13" s="1">
        <v>25</v>
      </c>
      <c r="Q13" s="1">
        <v>102</v>
      </c>
      <c r="R13" s="1">
        <v>102</v>
      </c>
      <c r="S13" s="1">
        <v>35</v>
      </c>
      <c r="T13" s="1">
        <v>14</v>
      </c>
      <c r="U13" s="11">
        <v>18</v>
      </c>
    </row>
    <row r="14" spans="1:21" x14ac:dyDescent="0.25">
      <c r="A14" t="s">
        <v>38</v>
      </c>
      <c r="B14" s="9" t="s">
        <v>26</v>
      </c>
      <c r="C14" s="1">
        <v>65</v>
      </c>
      <c r="D14" s="1">
        <v>0.99</v>
      </c>
      <c r="E14" s="6">
        <v>249.94</v>
      </c>
      <c r="F14" s="2">
        <f t="shared" si="0"/>
        <v>0.93220338983050843</v>
      </c>
      <c r="G14" s="3">
        <v>0.75</v>
      </c>
      <c r="H14" s="5">
        <v>163.88</v>
      </c>
      <c r="I14" s="2">
        <f t="shared" si="1"/>
        <v>0.84615384615384615</v>
      </c>
      <c r="J14" s="2">
        <f t="shared" si="2"/>
        <v>0.24615384615384617</v>
      </c>
      <c r="K14" s="2">
        <f t="shared" si="3"/>
        <v>0.2</v>
      </c>
      <c r="L14" s="2">
        <f t="shared" si="4"/>
        <v>0.24615384615384617</v>
      </c>
      <c r="M14" s="4">
        <v>0.21</v>
      </c>
      <c r="N14" s="10">
        <f t="shared" si="5"/>
        <v>1.5384615384615385E-2</v>
      </c>
      <c r="O14" s="1">
        <v>1</v>
      </c>
      <c r="P14" s="1">
        <v>36</v>
      </c>
      <c r="Q14" s="1">
        <v>55</v>
      </c>
      <c r="R14" s="1">
        <v>59</v>
      </c>
      <c r="S14" s="1">
        <v>16</v>
      </c>
      <c r="T14" s="1">
        <v>13</v>
      </c>
      <c r="U14" s="11">
        <v>16</v>
      </c>
    </row>
    <row r="15" spans="1:21" x14ac:dyDescent="0.25">
      <c r="A15" t="s">
        <v>37</v>
      </c>
      <c r="B15" s="9" t="s">
        <v>28</v>
      </c>
      <c r="C15" s="1">
        <v>129</v>
      </c>
      <c r="D15" s="2">
        <v>0.99</v>
      </c>
      <c r="E15" s="6">
        <v>165.49</v>
      </c>
      <c r="F15" s="2">
        <f t="shared" si="0"/>
        <v>1.0405405405405406</v>
      </c>
      <c r="G15" s="4">
        <v>0.73</v>
      </c>
      <c r="H15" s="5">
        <v>106.47</v>
      </c>
      <c r="I15" s="2">
        <f t="shared" si="1"/>
        <v>0.5968992248062015</v>
      </c>
      <c r="J15" s="2">
        <f t="shared" si="2"/>
        <v>0.35658914728682173</v>
      </c>
      <c r="K15" s="2">
        <f t="shared" si="3"/>
        <v>6.2015503875968991E-2</v>
      </c>
      <c r="L15" s="2">
        <f t="shared" si="4"/>
        <v>5.4263565891472867E-2</v>
      </c>
      <c r="M15" s="4">
        <v>0.21</v>
      </c>
      <c r="N15" s="10">
        <f t="shared" si="5"/>
        <v>2.3255813953488372E-2</v>
      </c>
      <c r="O15" s="1">
        <v>3</v>
      </c>
      <c r="P15" s="1">
        <v>18</v>
      </c>
      <c r="Q15" s="1">
        <v>77</v>
      </c>
      <c r="R15" s="1">
        <v>74</v>
      </c>
      <c r="S15" s="1">
        <v>46</v>
      </c>
      <c r="T15" s="1">
        <v>8</v>
      </c>
      <c r="U15" s="11">
        <v>7</v>
      </c>
    </row>
    <row r="16" spans="1:21" x14ac:dyDescent="0.25">
      <c r="A16" t="s">
        <v>32</v>
      </c>
      <c r="B16" s="9" t="s">
        <v>24</v>
      </c>
      <c r="C16" s="1">
        <v>149</v>
      </c>
      <c r="D16" s="2">
        <v>0.97</v>
      </c>
      <c r="E16" s="6">
        <v>201.15</v>
      </c>
      <c r="F16" s="2">
        <f t="shared" si="0"/>
        <v>0.97247706422018354</v>
      </c>
      <c r="G16" s="3">
        <v>0.7</v>
      </c>
      <c r="H16" s="5">
        <v>129.69</v>
      </c>
      <c r="I16" s="2">
        <f t="shared" si="1"/>
        <v>0.71140939597315433</v>
      </c>
      <c r="J16" s="2">
        <f t="shared" si="2"/>
        <v>0.28187919463087246</v>
      </c>
      <c r="K16" s="2">
        <f t="shared" si="3"/>
        <v>0.12080536912751678</v>
      </c>
      <c r="L16" s="2">
        <f t="shared" si="4"/>
        <v>6.7114093959731544E-2</v>
      </c>
      <c r="M16" s="3">
        <v>0.22</v>
      </c>
      <c r="N16" s="10">
        <f t="shared" si="5"/>
        <v>6.7114093959731542E-3</v>
      </c>
      <c r="O16" s="1">
        <v>1</v>
      </c>
      <c r="P16" s="1">
        <v>24</v>
      </c>
      <c r="Q16" s="1">
        <v>106</v>
      </c>
      <c r="R16" s="1">
        <v>109</v>
      </c>
      <c r="S16" s="1">
        <v>42</v>
      </c>
      <c r="T16" s="1">
        <v>18</v>
      </c>
      <c r="U16" s="11">
        <v>10</v>
      </c>
    </row>
    <row r="17" spans="1:21" x14ac:dyDescent="0.25">
      <c r="A17" t="s">
        <v>44</v>
      </c>
      <c r="B17" s="9" t="s">
        <v>28</v>
      </c>
      <c r="C17" s="1">
        <v>110</v>
      </c>
      <c r="D17" s="1">
        <v>0.97</v>
      </c>
      <c r="E17" s="6">
        <v>186.52</v>
      </c>
      <c r="F17" s="2">
        <f t="shared" si="0"/>
        <v>1.056338028169014</v>
      </c>
      <c r="G17" s="3">
        <v>0.69</v>
      </c>
      <c r="H17" s="5">
        <v>119.62</v>
      </c>
      <c r="I17" s="2">
        <f t="shared" si="1"/>
        <v>0.68181818181818177</v>
      </c>
      <c r="J17" s="2">
        <f t="shared" si="2"/>
        <v>0.16363636363636364</v>
      </c>
      <c r="K17" s="2">
        <f t="shared" si="3"/>
        <v>0.16363636363636364</v>
      </c>
      <c r="L17" s="2">
        <f t="shared" si="4"/>
        <v>0.11818181818181818</v>
      </c>
      <c r="M17" s="4">
        <v>0.23</v>
      </c>
      <c r="N17" s="10">
        <f t="shared" si="5"/>
        <v>1.8181818181818181E-2</v>
      </c>
      <c r="O17" s="1">
        <v>2</v>
      </c>
      <c r="P17" s="1">
        <v>19</v>
      </c>
      <c r="Q17" s="1">
        <v>75</v>
      </c>
      <c r="R17" s="1">
        <v>71</v>
      </c>
      <c r="S17" s="1">
        <v>18</v>
      </c>
      <c r="T17" s="1">
        <v>18</v>
      </c>
      <c r="U17" s="11">
        <v>13</v>
      </c>
    </row>
    <row r="18" spans="1:21" x14ac:dyDescent="0.25">
      <c r="A18" t="s">
        <v>45</v>
      </c>
      <c r="B18" s="9" t="s">
        <v>28</v>
      </c>
      <c r="C18" s="1">
        <v>199</v>
      </c>
      <c r="D18" s="1">
        <v>0.89</v>
      </c>
      <c r="E18" s="6">
        <v>177.15</v>
      </c>
      <c r="F18" s="2">
        <f t="shared" si="0"/>
        <v>0.8623188405797102</v>
      </c>
      <c r="G18" s="3">
        <v>0.7</v>
      </c>
      <c r="H18" s="5">
        <v>110.08</v>
      </c>
      <c r="I18" s="2">
        <f t="shared" si="1"/>
        <v>0.59798994974874375</v>
      </c>
      <c r="J18" s="2">
        <f t="shared" si="2"/>
        <v>0.33668341708542715</v>
      </c>
      <c r="K18" s="2">
        <f t="shared" si="3"/>
        <v>6.5326633165829151E-2</v>
      </c>
      <c r="L18" s="2">
        <f t="shared" si="4"/>
        <v>0.10552763819095477</v>
      </c>
      <c r="M18" s="4">
        <v>0.21</v>
      </c>
      <c r="N18" s="10">
        <f t="shared" si="5"/>
        <v>1.507537688442211E-2</v>
      </c>
      <c r="O18" s="1">
        <v>3</v>
      </c>
      <c r="P18" s="1">
        <v>18</v>
      </c>
      <c r="Q18" s="1">
        <v>119</v>
      </c>
      <c r="R18" s="1">
        <v>138</v>
      </c>
      <c r="S18" s="1">
        <v>67</v>
      </c>
      <c r="T18" s="1">
        <v>13</v>
      </c>
      <c r="U18" s="11">
        <v>21</v>
      </c>
    </row>
    <row r="19" spans="1:21" x14ac:dyDescent="0.25">
      <c r="A19" t="s">
        <v>41</v>
      </c>
      <c r="B19" s="9" t="s">
        <v>30</v>
      </c>
      <c r="C19" s="1">
        <v>92</v>
      </c>
      <c r="D19" s="1">
        <v>0.88</v>
      </c>
      <c r="E19" s="6">
        <v>193</v>
      </c>
      <c r="F19" s="2">
        <f t="shared" si="0"/>
        <v>0.90277777777777779</v>
      </c>
      <c r="G19" s="3">
        <v>0.68</v>
      </c>
      <c r="H19" s="5">
        <v>117.49</v>
      </c>
      <c r="I19" s="2">
        <f t="shared" si="1"/>
        <v>0.70652173913043481</v>
      </c>
      <c r="J19" s="2">
        <f t="shared" si="2"/>
        <v>0.22826086956521738</v>
      </c>
      <c r="K19" s="2">
        <f t="shared" si="3"/>
        <v>5.434782608695652E-2</v>
      </c>
      <c r="L19" s="2">
        <f t="shared" si="4"/>
        <v>9.7826086956521743E-2</v>
      </c>
      <c r="M19" s="4">
        <v>0.19</v>
      </c>
      <c r="N19" s="10">
        <f t="shared" si="5"/>
        <v>1.0869565217391304E-2</v>
      </c>
      <c r="O19" s="1">
        <v>1</v>
      </c>
      <c r="P19" s="1">
        <v>22</v>
      </c>
      <c r="Q19" s="1">
        <v>65</v>
      </c>
      <c r="R19" s="1">
        <v>72</v>
      </c>
      <c r="S19" s="1">
        <v>21</v>
      </c>
      <c r="T19" s="1">
        <v>5</v>
      </c>
      <c r="U19" s="11">
        <v>9</v>
      </c>
    </row>
    <row r="20" spans="1:21" x14ac:dyDescent="0.25">
      <c r="A20" t="s">
        <v>39</v>
      </c>
      <c r="B20" s="9" t="s">
        <v>24</v>
      </c>
      <c r="C20" s="1">
        <v>50</v>
      </c>
      <c r="D20" s="1">
        <v>0.84</v>
      </c>
      <c r="E20" s="6">
        <v>151.4</v>
      </c>
      <c r="F20" s="2">
        <f t="shared" si="0"/>
        <v>0.79411764705882348</v>
      </c>
      <c r="G20" s="3">
        <v>0.64</v>
      </c>
      <c r="H20" s="5">
        <v>104.36</v>
      </c>
      <c r="I20" s="2">
        <f t="shared" si="1"/>
        <v>0.54</v>
      </c>
      <c r="J20" s="2">
        <f t="shared" si="2"/>
        <v>0.28000000000000003</v>
      </c>
      <c r="K20" s="2">
        <f t="shared" si="3"/>
        <v>0.02</v>
      </c>
      <c r="L20" s="2">
        <f t="shared" si="4"/>
        <v>0.16</v>
      </c>
      <c r="M20" s="4">
        <v>0.15</v>
      </c>
      <c r="N20" s="10">
        <f t="shared" si="5"/>
        <v>0</v>
      </c>
      <c r="O20" s="1">
        <v>0</v>
      </c>
      <c r="P20" s="1">
        <v>15</v>
      </c>
      <c r="Q20" s="1">
        <v>27</v>
      </c>
      <c r="R20" s="1">
        <v>34</v>
      </c>
      <c r="S20" s="1">
        <v>14</v>
      </c>
      <c r="T20" s="1">
        <v>1</v>
      </c>
      <c r="U20" s="11">
        <v>8</v>
      </c>
    </row>
    <row r="21" spans="1:21" x14ac:dyDescent="0.25">
      <c r="A21" t="s">
        <v>46</v>
      </c>
      <c r="B21" s="9" t="s">
        <v>26</v>
      </c>
      <c r="C21" s="1">
        <v>290</v>
      </c>
      <c r="D21" s="1">
        <v>0.83</v>
      </c>
      <c r="E21" s="6">
        <v>147.61000000000001</v>
      </c>
      <c r="F21" s="2">
        <f t="shared" si="0"/>
        <v>0.79</v>
      </c>
      <c r="G21" s="3">
        <v>0.7</v>
      </c>
      <c r="H21" s="5">
        <v>102.53</v>
      </c>
      <c r="I21" s="2">
        <f t="shared" si="1"/>
        <v>0.54482758620689653</v>
      </c>
      <c r="J21" s="2">
        <f t="shared" si="2"/>
        <v>0.26896551724137929</v>
      </c>
      <c r="K21" s="2">
        <f t="shared" si="3"/>
        <v>4.8275862068965517E-2</v>
      </c>
      <c r="L21" s="2">
        <f t="shared" si="4"/>
        <v>7.586206896551724E-2</v>
      </c>
      <c r="M21" s="4">
        <v>0.17</v>
      </c>
      <c r="N21" s="10">
        <f t="shared" si="5"/>
        <v>3.4482758620689655E-3</v>
      </c>
      <c r="O21" s="1">
        <v>1</v>
      </c>
      <c r="P21" s="1">
        <v>16</v>
      </c>
      <c r="Q21" s="1">
        <v>158</v>
      </c>
      <c r="R21" s="1">
        <v>200</v>
      </c>
      <c r="S21" s="1">
        <v>78</v>
      </c>
      <c r="T21" s="1">
        <v>14</v>
      </c>
      <c r="U21" s="11">
        <v>22</v>
      </c>
    </row>
    <row r="22" spans="1:21" x14ac:dyDescent="0.25">
      <c r="A22" t="s">
        <v>42</v>
      </c>
      <c r="B22" s="9" t="s">
        <v>24</v>
      </c>
      <c r="C22" s="1">
        <v>194</v>
      </c>
      <c r="D22" s="1">
        <v>0.73</v>
      </c>
      <c r="E22" s="6">
        <v>144.88999999999999</v>
      </c>
      <c r="F22" s="2">
        <f t="shared" si="0"/>
        <v>0.65248226950354615</v>
      </c>
      <c r="G22" s="3">
        <v>0.62</v>
      </c>
      <c r="H22" s="5">
        <v>96.09</v>
      </c>
      <c r="I22" s="2">
        <f t="shared" si="1"/>
        <v>0.47422680412371132</v>
      </c>
      <c r="J22" s="2">
        <f t="shared" si="2"/>
        <v>0.2422680412371134</v>
      </c>
      <c r="K22" s="2">
        <f t="shared" si="3"/>
        <v>6.7010309278350513E-2</v>
      </c>
      <c r="L22" s="2">
        <f t="shared" si="4"/>
        <v>6.1855670103092786E-2</v>
      </c>
      <c r="M22" s="4">
        <v>0.13</v>
      </c>
      <c r="N22" s="10">
        <f t="shared" si="5"/>
        <v>5.1546391752577319E-3</v>
      </c>
      <c r="O22" s="1">
        <v>1</v>
      </c>
      <c r="P22" s="1">
        <v>19</v>
      </c>
      <c r="Q22" s="1">
        <v>92</v>
      </c>
      <c r="R22" s="1">
        <v>141</v>
      </c>
      <c r="S22" s="1">
        <v>47</v>
      </c>
      <c r="T22" s="1">
        <v>13</v>
      </c>
      <c r="U22" s="11">
        <v>12</v>
      </c>
    </row>
    <row r="23" spans="1:21" x14ac:dyDescent="0.25">
      <c r="A23" t="s">
        <v>49</v>
      </c>
      <c r="B23" s="9" t="s">
        <v>26</v>
      </c>
      <c r="C23" s="1">
        <v>340</v>
      </c>
      <c r="D23" s="1">
        <v>0.66</v>
      </c>
      <c r="E23" s="6">
        <v>103.6</v>
      </c>
      <c r="F23" s="2">
        <f t="shared" si="0"/>
        <v>0.5633187772925764</v>
      </c>
      <c r="G23" s="3">
        <v>0.66</v>
      </c>
      <c r="H23" s="5">
        <v>71.11</v>
      </c>
      <c r="I23" s="2">
        <f t="shared" si="1"/>
        <v>0.37941176470588234</v>
      </c>
      <c r="J23" s="2">
        <f t="shared" si="2"/>
        <v>0.24411764705882352</v>
      </c>
      <c r="K23" s="2">
        <f t="shared" si="3"/>
        <v>1.7647058823529412E-2</v>
      </c>
      <c r="L23" s="2">
        <f t="shared" si="4"/>
        <v>5.2941176470588235E-2</v>
      </c>
      <c r="M23" s="4">
        <v>0.16</v>
      </c>
      <c r="N23" s="10">
        <f t="shared" si="5"/>
        <v>1.7647058823529412E-2</v>
      </c>
      <c r="O23" s="1">
        <v>6</v>
      </c>
      <c r="P23" s="1">
        <v>14</v>
      </c>
      <c r="Q23" s="1">
        <v>129</v>
      </c>
      <c r="R23" s="1">
        <v>229</v>
      </c>
      <c r="S23" s="1">
        <v>83</v>
      </c>
      <c r="T23" s="1">
        <v>6</v>
      </c>
      <c r="U23" s="11">
        <v>18</v>
      </c>
    </row>
    <row r="24" spans="1:21" x14ac:dyDescent="0.25">
      <c r="A24" t="s">
        <v>48</v>
      </c>
      <c r="B24" s="9" t="s">
        <v>30</v>
      </c>
      <c r="C24" s="1">
        <v>45</v>
      </c>
      <c r="D24" s="1">
        <v>0.61</v>
      </c>
      <c r="E24" s="6">
        <v>88.13</v>
      </c>
      <c r="F24" s="2">
        <f t="shared" si="0"/>
        <v>0.36363636363636365</v>
      </c>
      <c r="G24" s="3">
        <v>0.6</v>
      </c>
      <c r="H24" s="5">
        <v>85.25</v>
      </c>
      <c r="I24" s="2">
        <f t="shared" si="1"/>
        <v>0.26666666666666666</v>
      </c>
      <c r="J24" s="2">
        <f t="shared" si="2"/>
        <v>0.4</v>
      </c>
      <c r="K24" s="2">
        <f t="shared" si="3"/>
        <v>0</v>
      </c>
      <c r="L24" s="2">
        <f t="shared" si="4"/>
        <v>0</v>
      </c>
      <c r="M24" s="4">
        <v>0.33</v>
      </c>
      <c r="N24" s="10">
        <f t="shared" si="5"/>
        <v>0</v>
      </c>
      <c r="O24" s="1">
        <v>0</v>
      </c>
      <c r="P24" s="1">
        <v>6</v>
      </c>
      <c r="Q24" s="1">
        <v>12</v>
      </c>
      <c r="R24" s="1">
        <v>33</v>
      </c>
      <c r="S24" s="1">
        <v>18</v>
      </c>
      <c r="T24" s="1">
        <v>0</v>
      </c>
      <c r="U24" s="11">
        <v>0</v>
      </c>
    </row>
    <row r="25" spans="1:21" x14ac:dyDescent="0.25">
      <c r="A25" t="s">
        <v>50</v>
      </c>
      <c r="B25" s="9" t="s">
        <v>30</v>
      </c>
      <c r="C25" s="1">
        <v>42</v>
      </c>
      <c r="D25" s="2">
        <v>0.3</v>
      </c>
      <c r="E25" s="6">
        <v>85.9</v>
      </c>
      <c r="F25" s="2">
        <f t="shared" si="0"/>
        <v>0.28947368421052633</v>
      </c>
      <c r="G25" s="3">
        <v>0.43</v>
      </c>
      <c r="H25" s="5">
        <v>59.64</v>
      </c>
      <c r="I25" s="2">
        <f t="shared" si="1"/>
        <v>0.26190476190476192</v>
      </c>
      <c r="J25" s="2">
        <f t="shared" si="2"/>
        <v>0.21428571428571427</v>
      </c>
      <c r="K25" s="2">
        <f t="shared" si="3"/>
        <v>2.3809523809523808E-2</v>
      </c>
      <c r="L25" s="2">
        <f t="shared" si="4"/>
        <v>0.16666666666666666</v>
      </c>
      <c r="M25" s="4">
        <v>0.11</v>
      </c>
      <c r="N25" s="10">
        <f t="shared" si="5"/>
        <v>0</v>
      </c>
      <c r="O25" s="1">
        <v>0</v>
      </c>
      <c r="P25" s="1">
        <v>6</v>
      </c>
      <c r="Q25" s="1">
        <v>11</v>
      </c>
      <c r="R25" s="1">
        <v>38</v>
      </c>
      <c r="S25" s="1">
        <v>9</v>
      </c>
      <c r="T25" s="1">
        <v>1</v>
      </c>
      <c r="U25" s="11">
        <v>7</v>
      </c>
    </row>
    <row r="26" spans="1:21" x14ac:dyDescent="0.25">
      <c r="A26" s="12" t="s">
        <v>47</v>
      </c>
      <c r="B26" s="13" t="s">
        <v>26</v>
      </c>
      <c r="C26" s="14"/>
      <c r="D26" s="14"/>
      <c r="E26" s="16"/>
      <c r="F26" s="15"/>
      <c r="G26" s="17"/>
      <c r="H26" s="18"/>
      <c r="I26" s="15"/>
      <c r="J26" s="15"/>
      <c r="K26" s="15"/>
      <c r="L26" s="15"/>
      <c r="M26" s="21"/>
      <c r="N26" s="19"/>
      <c r="O26" s="14"/>
      <c r="P26" s="14"/>
      <c r="Q26" s="14"/>
      <c r="R26" s="14"/>
      <c r="S26" s="14"/>
      <c r="T26" s="14"/>
      <c r="U26" s="20"/>
    </row>
    <row r="28" spans="1:21" x14ac:dyDescent="0.25">
      <c r="A28" t="s">
        <v>51</v>
      </c>
    </row>
  </sheetData>
  <autoFilter ref="A1:U1" xr:uid="{00000000-0009-0000-0000-000002000000}">
    <sortState xmlns:xlrd2="http://schemas.microsoft.com/office/spreadsheetml/2017/richdata2" ref="A2:U26">
      <sortCondition descending="1" ref="D1"/>
    </sortState>
  </autoFilter>
  <conditionalFormatting sqref="C2:C26">
    <cfRule type="top10" dxfId="7" priority="25" rank="1"/>
  </conditionalFormatting>
  <conditionalFormatting sqref="D2:D26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">
      <colorScale>
        <cfvo type="min"/>
        <cfvo type="max"/>
        <color rgb="FFFFEF9C"/>
        <color rgb="FF63BE7B"/>
      </colorScale>
    </cfRule>
  </conditionalFormatting>
  <conditionalFormatting sqref="E2:E26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max"/>
        <color rgb="FFFFEF9C"/>
        <color rgb="FF63BE7B"/>
      </colorScale>
    </cfRule>
  </conditionalFormatting>
  <conditionalFormatting sqref="F2:F26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">
      <colorScale>
        <cfvo type="min"/>
        <cfvo type="max"/>
        <color rgb="FFFFEF9C"/>
        <color rgb="FF63BE7B"/>
      </colorScale>
    </cfRule>
  </conditionalFormatting>
  <conditionalFormatting sqref="G2:G26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">
      <colorScale>
        <cfvo type="min"/>
        <cfvo type="max"/>
        <color rgb="FFFFEF9C"/>
        <color rgb="FF63BE7B"/>
      </colorScale>
    </cfRule>
  </conditionalFormatting>
  <conditionalFormatting sqref="H2:H26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6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26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6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26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26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26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26">
    <cfRule type="top10" dxfId="6" priority="48" rank="1"/>
  </conditionalFormatting>
  <conditionalFormatting sqref="P2:P26">
    <cfRule type="top10" dxfId="5" priority="50" rank="1"/>
  </conditionalFormatting>
  <conditionalFormatting sqref="Q2:Q26">
    <cfRule type="top10" dxfId="4" priority="52" rank="1"/>
  </conditionalFormatting>
  <conditionalFormatting sqref="R2:R26">
    <cfRule type="top10" dxfId="3" priority="54" bottom="1" rank="1"/>
  </conditionalFormatting>
  <conditionalFormatting sqref="S2:S26">
    <cfRule type="top10" dxfId="2" priority="56" rank="1"/>
  </conditionalFormatting>
  <conditionalFormatting sqref="T2:T26">
    <cfRule type="top10" dxfId="1" priority="58" rank="1"/>
  </conditionalFormatting>
  <conditionalFormatting sqref="U2:U26">
    <cfRule type="top10" dxfId="0" priority="60" bottom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</vt:lpstr>
      <vt:lpstr>Group Stage</vt:lpstr>
      <vt:lpstr>Playoffs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Zhehan Gu</dc:creator>
  <cp:lastModifiedBy>Alex G</cp:lastModifiedBy>
  <dcterms:created xsi:type="dcterms:W3CDTF">2025-05-29T08:33:07Z</dcterms:created>
  <dcterms:modified xsi:type="dcterms:W3CDTF">2025-12-15T01:15:17Z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2025-05-29T09:45:44Z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65c7976b-dceb-4340-9956-3cb68b01b2e4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